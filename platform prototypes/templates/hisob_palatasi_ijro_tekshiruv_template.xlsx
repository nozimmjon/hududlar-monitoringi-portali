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0aeec59f534983" /></Relationships>
</file>

<file path=xl/workbook.xml><?xml version="1.0" encoding="utf-8"?>
<x:workbook xmlns:x="http://schemas.openxmlformats.org/spreadsheetml/2006/main">
  <x:sheets>
    <x:sheet xmlns:r="http://schemas.openxmlformats.org/officeDocument/2006/relationships" name="01_Йўриқнома" sheetId="1" r:id="R30dcc114e30b44c6"/>
    <x:sheet xmlns:r="http://schemas.openxmlformats.org/officeDocument/2006/relationships" name="02_Текширув киритиш" sheetId="2" r:id="R46b850cb49a44cf7"/>
    <x:sheet xmlns:r="http://schemas.openxmlformats.org/officeDocument/2006/relationships" name="03_Ойлик текширув" sheetId="3" r:id="R3cad1def48604c6b"/>
    <x:sheet xmlns:r="http://schemas.openxmlformats.org/officeDocument/2006/relationships" name="04_Туман кесими" sheetId="4" r:id="Rba9de2f45fca457f"/>
    <x:sheet xmlns:r="http://schemas.openxmlformats.org/officeDocument/2006/relationships" name="05_Луғатлар" sheetId="5" r:id="Ra2b3fbdff5014ec9"/>
    <x:sheet xmlns:r="http://schemas.openxmlformats.org/officeDocument/2006/relationships" name="06_Топшириқлар реестри" sheetId="6" r:id="R763f976bd6954705"/>
    <x:sheet xmlns:r="http://schemas.openxmlformats.org/officeDocument/2006/relationships" name="07_Data model" sheetId="7" r:id="Re90795c04b934a2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sz val="11"/>
      <x:color rgb="FFFFFF"/>
      <x:name val="Carlito"/>
    </x:font>
    <x:font>
      <x:b/>
      <x:sz val="11"/>
      <x:color rgb="FFFFFF"/>
      <x:name val="Carlito"/>
    </x:font>
    <x:font>
      <x:b/>
      <x:sz val="15"/>
      <x:color rgb="FFFFFF"/>
      <x:name val="Carlito"/>
    </x:font>
    <x:font>
      <x:b/>
      <x:sz val="11"/>
      <x:name val="Carlito"/>
    </x:font>
    <x:font>
      <x:sz val="11"/>
      <x:color rgb="0B2338"/>
      <x:name val="Carlito"/>
    </x:font>
    <x:font>
      <x:b/>
      <x:sz val="11"/>
      <x:color rgb="0B2338"/>
      <x:name val="Carlito"/>
    </x:font>
  </x:fonts>
  <x:fills count="7">
    <x:fill>
      <x:patternFill patternType="none"/>
    </x:fill>
    <x:fill>
      <x:patternFill patternType="gray125"/>
    </x:fill>
    <x:fill>
      <x:patternFill patternType="solid">
        <x:fgColor rgb="073B4C"/>
      </x:patternFill>
    </x:fill>
    <x:fill>
      <x:patternFill patternType="solid">
        <x:fgColor rgb="EAF2F8"/>
      </x:patternFill>
    </x:fill>
    <x:fill>
      <x:patternFill patternType="solid">
        <x:fgColor rgb="FFF7DF"/>
      </x:patternFill>
    </x:fill>
    <x:fill>
      <x:patternFill patternType="solid">
        <x:fgColor rgb="EDF7EE"/>
      </x:patternFill>
    </x:fill>
    <x:fill>
      <x:patternFill patternType="solid">
        <x:fgColor rgb="FBFDFF"/>
      </x:patternFill>
    </x:fill>
  </x:fills>
  <x:borders count="1">
    <x:border/>
  </x:borders>
  <x:cellStyleXfs count="1">
    <x:xf numFmtId="0" fontId="0" fillId="0" borderId="0"/>
  </x:cellStyleXfs>
  <x:cellXfs count="21">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3" borderId="0" xfId="0" applyNumberFormat="1" applyFont="1" applyFill="1" applyBorder="1"/>
    <x:xf numFmtId="0" fontId="5"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6" fillId="3" borderId="0" xfId="0" applyNumberFormat="1" applyFont="1" applyFill="1" applyBorder="1" applyAlignment="1">
      <x:alignment horizontal="center" vertical="center" wrapText="1"/>
    </x:xf>
    <x:xf numFmtId="0" fontId="6" fillId="3" borderId="0" xfId="0" applyNumberFormat="1" applyFont="1" applyFill="1" applyBorder="1" applyAlignment="1">
      <x:alignment horizontal="center" vertical="top" wrapText="1"/>
    </x:xf>
    <x:xf numFmtId="0" fontId="0" fillId="4"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200" fontId="0" fillId="4" borderId="0" xfId="0" applyNumberFormat="1" applyFont="1" applyFill="1" applyBorder="1" applyAlignment="1">
      <x:alignment vertical="top" wrapText="1"/>
    </x:xf>
    <x:xf numFmtId="0" fontId="0" fillId="6" borderId="0" xfId="0" applyNumberFormat="1" applyFont="1" applyFill="1" applyBorder="1"/>
  </x:cellXfs>
  <x:cellStyles count="1">
    <x:cellStyle name="Normal" xfId="0"/>
  </x:cellStyles>
  <x:dxfs count="12">
    <x:dxf>
      <x:font>
        <x:b/>
        <x:color rgb="0F7A3A"/>
      </x:font>
    </x:dxf>
    <x:dxf>
      <x:font>
        <x:b/>
        <x:color rgb="0F7A3A"/>
      </x:font>
    </x:dxf>
    <x:dxf>
      <x:font>
        <x:b/>
        <x:color rgb="B42318"/>
      </x:font>
    </x:dxf>
    <x:dxf>
      <x:font>
        <x:b/>
        <x:color rgb="B42318"/>
      </x:font>
    </x:dxf>
    <x:dxf>
      <x:font>
        <x:b/>
        <x:color rgb="0F7A3A"/>
      </x:font>
    </x:dxf>
    <x:dxf>
      <x:font>
        <x:b/>
        <x:color rgb="0F7A3A"/>
      </x:font>
    </x:dxf>
    <x:dxf>
      <x:font>
        <x:b/>
        <x:color rgb="B42318"/>
      </x:font>
    </x:dxf>
    <x:dxf>
      <x:font>
        <x:b/>
        <x:color rgb="B42318"/>
      </x:font>
    </x:dxf>
    <x:dxf>
      <x:font>
        <x:b/>
        <x:color rgb="0F7A3A"/>
      </x:font>
    </x:dxf>
    <x:dxf>
      <x:font>
        <x:b/>
        <x:color rgb="0F7A3A"/>
      </x:font>
    </x:dxf>
    <x:dxf>
      <x:font>
        <x:b/>
        <x:color rgb="B42318"/>
      </x:font>
    </x:dxf>
    <x:dxf>
      <x:font>
        <x:b/>
        <x:color rgb="B42318"/>
      </x:font>
    </x:dxf>
  </x:dxfs>
</x:styleSheet>
</file>

<file path=xl/_rels/workbook.xml.rels>&#65279;<?xml version="1.0" encoding="utf-8"?><Relationships xmlns="http://schemas.openxmlformats.org/package/2006/relationships"><Relationship Type="http://schemas.openxmlformats.org/officeDocument/2006/relationships/styles" Target="/xl/styles.xml" Id="R3b8139d7b97a400c" /><Relationship Type="http://schemas.openxmlformats.org/officeDocument/2006/relationships/theme" Target="/xl/theme/theme1.xml" Id="R8dae7a9668694fa3" /><Relationship Type="http://schemas.openxmlformats.org/officeDocument/2006/relationships/sharedStrings" Target="/xl/sharedStrings.xml" Id="R97997c2decd645df" /><Relationship Type="http://schemas.openxmlformats.org/officeDocument/2006/relationships/worksheet" Target="/xl/worksheets/sheet1.xml" Id="R30dcc114e30b44c6" /><Relationship Type="http://schemas.openxmlformats.org/officeDocument/2006/relationships/worksheet" Target="/xl/worksheets/sheet2.xml" Id="R46b850cb49a44cf7" /><Relationship Type="http://schemas.openxmlformats.org/officeDocument/2006/relationships/worksheet" Target="/xl/worksheets/sheet3.xml" Id="R3cad1def48604c6b" /><Relationship Type="http://schemas.openxmlformats.org/officeDocument/2006/relationships/worksheet" Target="/xl/worksheets/sheet4.xml" Id="Rba9de2f45fca457f" /><Relationship Type="http://schemas.openxmlformats.org/officeDocument/2006/relationships/worksheet" Target="/xl/worksheets/sheet5.xml" Id="Ra2b3fbdff5014ec9" /><Relationship Type="http://schemas.openxmlformats.org/officeDocument/2006/relationships/worksheet" Target="/xl/worksheets/sheet6.xml" Id="R763f976bd6954705" /><Relationship Type="http://schemas.openxmlformats.org/officeDocument/2006/relationships/worksheet" Target="/xl/worksheets/sheet7.xml" Id="Re90795c04b934a2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6"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4" t="str">
        <x:v>Ҳисоб палатаси учун ижро текшируви шаблони</x:v>
      </x:c>
    </x:row>
    <x:row r="3">
      <x:c r="A3" s="8" t="str">
        <x:v>Мақсад</x:v>
      </x:c>
      <x:c r="B3" s="9" t="str">
        <x:v>Ҳисоб палатаси ҳар бир чора-тадбир бўйича расмий текширув натижасини киритади. KPI қаторлари текширув объекти эмас.</x:v>
      </x:c>
      <x:c r="C3" s="9" t="str"/>
      <x:c r="D3" s="9" t="str"/>
      <x:c r="E3" s="9" t="str"/>
      <x:c r="F3" s="9" t="str"/>
      <x:c r="G3" s="9" t="str"/>
      <x:c r="H3" s="9" t="str"/>
    </x:row>
    <x:row r="4">
      <x:c r="A4" s="8" t="str">
        <x:v>Асосий варақ</x:v>
      </x:c>
      <x:c r="B4" s="9" t="str">
        <x:v>02_Текширув киритиш: 52 та T-топшириқ бўйича умумий текширув.</x:v>
      </x:c>
      <x:c r="C4" s="9" t="str"/>
      <x:c r="D4" s="9" t="str"/>
      <x:c r="E4" s="9" t="str"/>
      <x:c r="F4" s="9" t="str"/>
      <x:c r="G4" s="9" t="str"/>
      <x:c r="H4" s="9" t="str"/>
    </x:row>
    <x:row r="5">
      <x:c r="A5" s="8" t="str">
        <x:v>Ойлик варақ</x:v>
      </x:c>
      <x:c r="B5" s="9" t="str">
        <x:v>03_Ойлик текширув: 'ҳар ой' деб берилган топшириқлар 12 ой кесимида алоҳида ёзилади.</x:v>
      </x:c>
      <x:c r="C5" s="9" t="str"/>
      <x:c r="D5" s="9" t="str"/>
      <x:c r="E5" s="9" t="str"/>
      <x:c r="F5" s="9" t="str"/>
      <x:c r="G5" s="9" t="str"/>
      <x:c r="H5" s="9" t="str"/>
    </x:row>
    <x:row r="6">
      <x:c r="A6" s="8" t="str">
        <x:v>Туман варағи</x:v>
      </x:c>
      <x:c r="B6" s="9" t="str">
        <x:v>04_Туман кесими: туман/шаҳарга боғланган топшириқлар ҳудудлар кесимида текширилади.</x:v>
      </x:c>
      <x:c r="C6" s="9" t="str"/>
      <x:c r="D6" s="9" t="str"/>
      <x:c r="E6" s="9" t="str"/>
      <x:c r="F6" s="9" t="str"/>
      <x:c r="G6" s="9" t="str"/>
      <x:c r="H6" s="9" t="str"/>
    </x:row>
    <x:row r="7">
      <x:c r="A7" s="8" t="str">
        <x:v>Қабул қоидаси</x:v>
      </x:c>
      <x:c r="B7" s="9" t="str">
        <x:v>Платформага қабул учун ҳисобот ҳолати, ижро ҳолати, далил ҳолати, текширув санаси ва текширувчи тўлиши шарт.</x:v>
      </x:c>
      <x:c r="C7" s="9" t="str"/>
      <x:c r="D7" s="9" t="str"/>
      <x:c r="E7" s="9" t="str"/>
      <x:c r="F7" s="9" t="str"/>
      <x:c r="G7" s="9" t="str"/>
      <x:c r="H7" s="9" t="str"/>
    </x:row>
    <x:row r="8">
      <x:c r="A8" s="8" t="str">
        <x:v>Қайтариш қоидаси</x:v>
      </x:c>
      <x:c r="B8" s="9" t="str">
        <x:v>Қайтарилди/рад этилди/бажарилмади/кечикди/далил етарсиз ҳолатларда муаммо тури, изоҳ ва тузатиш муддати ҳам мажбурий.</x:v>
      </x:c>
      <x:c r="C8" s="9" t="str"/>
      <x:c r="D8" s="9" t="str"/>
      <x:c r="E8" s="9" t="str"/>
      <x:c r="F8" s="9" t="str"/>
      <x:c r="G8" s="9" t="str"/>
      <x:c r="H8" s="9" t="str"/>
    </x:row>
    <x:row r="9">
      <x:c r="A9" s="8" t="str">
        <x:v>Import key</x:v>
      </x:c>
      <x:c r="B9" s="9" t="str">
        <x:v>Асосий: T-ID + текширув даври + ҳудуд. Ойлик: T-ID + ой + ҳудуд. Туман: T-ID + туман + текширув даври.</x:v>
      </x:c>
      <x:c r="C9" s="9" t="str"/>
      <x:c r="D9" s="9" t="str"/>
      <x:c r="E9" s="9" t="str"/>
      <x:c r="F9" s="9" t="str"/>
      <x:c r="G9" s="9" t="str"/>
      <x:c r="H9" s="9" t="str"/>
    </x:row>
    <x:row r="10">
      <x:c r="A10" s="8" t="str">
        <x:v>Манба</x:v>
      </x:c>
      <x:c r="B10" s="9" t="str">
        <x:v>C:\Users\n.ortiqov\Desktop\2026\41. Худудлар мониторинги портали\data_source\Кафолат хатлар имзога\2. Андижон\0_Чора_тадбир_Андижон_кафолат_хати.docx</x:v>
      </x:c>
      <x:c r="C10" s="9" t="str"/>
      <x:c r="D10" s="9" t="str"/>
      <x:c r="E10" s="9" t="str"/>
      <x:c r="F10" s="9" t="str"/>
      <x:c r="G10" s="9" t="str"/>
      <x:c r="H10" s="9" t="str"/>
    </x:row>
    <x:row r="11">
      <x:c r="A11" s="8" t="str">
        <x:v>Қамров</x:v>
      </x:c>
      <x:c r="B11" s="9" t="str">
        <x:v>52 та чора-тадбир, 30 та KPI reference, 29 та туман кесими</x:v>
      </x:c>
      <x:c r="C11" s="9" t="str"/>
      <x:c r="D11" s="9" t="str"/>
      <x:c r="E11" s="9" t="str"/>
      <x:c r="F11" s="9" t="str"/>
      <x:c r="G11" s="9" t="str"/>
      <x:c r="H11" s="9" t="str"/>
    </x:row>
    <x:row r="12">
      <x:c r="A12" s="8" t="str">
        <x:v>Эслатма</x:v>
      </x:c>
      <x:c r="B12" s="9" t="str">
        <x:v>Сариқ устунлар Hisob Palatasi тўлдирадиган майдонлар. Кўк/кулранг устунлар platform/sourceдан келади.</x:v>
      </x:c>
      <x:c r="C12" s="9" t="str"/>
      <x:c r="D12" s="9" t="str"/>
      <x:c r="E12" s="9" t="str"/>
      <x:c r="F12" s="9" t="str"/>
      <x:c r="G12" s="9" t="str"/>
      <x:c r="H12" s="9" t="str"/>
    </x:row>
    <x:row r="13">
      <x:c r="A13" s="8" t="str">
        <x:v>Шаблон санаси</x:v>
      </x:c>
      <x:c r="B13" s="9" t="str">
        <x:v>2026-05-05</x:v>
      </x:c>
      <x:c r="C13" s="9" t="str"/>
      <x:c r="D13" s="9" t="str"/>
      <x:c r="E13" s="9" t="str"/>
      <x:c r="F13" s="9" t="str"/>
      <x:c r="G13" s="9" t="str"/>
      <x:c r="H13" s="9" t="str"/>
    </x:row>
  </x:sheetData>
  <x:mergeCells>
    <x:mergeCell ref="A1:H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 hidden="0" customWidth="1"/>
    <x:col min="2" max="2" width="10" hidden="0" customWidth="1"/>
    <x:col min="3" max="3" width="32" hidden="0" customWidth="1"/>
    <x:col min="4" max="4" width="18" hidden="0" customWidth="1"/>
    <x:col min="5" max="5" width="68" hidden="0" customWidth="1"/>
    <x:col min="6" max="6" width="24" hidden="0" customWidth="1"/>
    <x:col min="7" max="7" width="22" hidden="0" customWidth="1"/>
    <x:col min="8" max="8" width="20" hidden="0" customWidth="1"/>
    <x:col min="9" max="9" width="16" hidden="0" customWidth="1"/>
    <x:col min="10" max="10" width="34" hidden="0" customWidth="1"/>
    <x:col min="11" max="11" width="34" hidden="0" customWidth="1"/>
    <x:col min="12" max="12" width="20" hidden="0" customWidth="1"/>
    <x:col min="13" max="13" width="20" hidden="0" customWidth="1"/>
    <x:col min="14" max="14" width="18" hidden="0" customWidth="1"/>
    <x:col min="15" max="15" width="18" hidden="0" customWidth="1"/>
    <x:col min="16" max="16" width="16" hidden="0" customWidth="1"/>
    <x:col min="17" max="17" width="22" hidden="0" customWidth="1"/>
    <x:col min="18" max="18" width="44" hidden="0" customWidth="1"/>
    <x:col min="19" max="19" width="44" hidden="0" customWidth="1"/>
    <x:col min="20" max="20" width="18" hidden="0" customWidth="1"/>
    <x:col min="21" max="21" width="18" hidden="0" customWidth="1"/>
    <x:col min="22" max="22" width="22" hidden="0" customWidth="1"/>
    <x:col min="23" max="23" width="34" hidden="0" customWidth="1"/>
    <x:col min="24" max="24" width="18" hidden="0" customWidth="1"/>
  </x:cols>
  <x:sheetData>
    <x:row r="1">
      <x:c r="A1" s="16" t="str">
        <x:v>T-ID</x:v>
      </x:c>
      <x:c r="B1" s="16" t="str">
        <x:v>Source №</x:v>
      </x:c>
      <x:c r="C1" s="16" t="str">
        <x:v>Йўналиш</x:v>
      </x:c>
      <x:c r="D1" s="16" t="str">
        <x:v>KPI боғланиши</x:v>
      </x:c>
      <x:c r="E1" s="16" t="str">
        <x:v>Топшириқ матни</x:v>
      </x:c>
      <x:c r="F1" s="16" t="str">
        <x:v>Ижро муддати</x:v>
      </x:c>
      <x:c r="G1" s="16" t="str">
        <x:v>Текширув даври</x:v>
      </x:c>
      <x:c r="H1" s="16" t="str">
        <x:v>Даврийлик</x:v>
      </x:c>
      <x:c r="I1" s="16" t="str">
        <x:v>Ҳисобот ойи</x:v>
      </x:c>
      <x:c r="J1" s="16" t="str">
        <x:v>Ҳудуд</x:v>
      </x:c>
      <x:c r="K1" s="16" t="str">
        <x:v>Масъул ижрочи</x:v>
      </x:c>
      <x:c r="L1" s="16" t="str">
        <x:v>Ҳисобот ҳолати</x:v>
      </x:c>
      <x:c r="M1" s="16" t="str">
        <x:v>Ижро ҳолати</x:v>
      </x:c>
      <x:c r="N1" s="16" t="str">
        <x:v>Далил ҳолати</x:v>
      </x:c>
      <x:c r="O1" s="16" t="str">
        <x:v>Тасдиқланган факт</x:v>
      </x:c>
      <x:c r="P1" s="16" t="str">
        <x:v>Ўлчов бирлиги</x:v>
      </x:c>
      <x:c r="Q1" s="16" t="str">
        <x:v>Муаммо тури</x:v>
      </x:c>
      <x:c r="R1" s="16" t="str">
        <x:v>Ҳисоб палатаси изоҳи</x:v>
      </x:c>
      <x:c r="S1" s="16" t="str">
        <x:v>Тавсия / кўрсатма</x:v>
      </x:c>
      <x:c r="T1" s="16" t="str">
        <x:v>Тузатиш муддати</x:v>
      </x:c>
      <x:c r="U1" s="16" t="str">
        <x:v>Текширув санаси</x:v>
      </x:c>
      <x:c r="V1" s="16" t="str">
        <x:v>Текширувчи</x:v>
      </x:c>
      <x:c r="W1" s="16" t="str">
        <x:v>Файл/ҳавола</x:v>
      </x:c>
      <x:c r="X1" s="16" t="str">
        <x:v>Платформага қабул</x:v>
      </x:c>
    </x:row>
    <x:row r="2">
      <x:c r="A2" s="9" t="str">
        <x:v>T-001</x:v>
      </x:c>
      <x:c r="B2" s="9" t="n">
        <x:v>4</x:v>
      </x:c>
      <x:c r="C2" s="9" t="str">
        <x:v>1.2. Саноат йўналишида</x:v>
      </x:c>
      <x:c r="D2" s="9" t="str">
        <x:v>industry</x:v>
      </x:c>
      <x:c r="E2" s="9" t="str">
        <x:v>Вилоятдаги махсус иқтисодий ва саноат зоналарида 0,5 трлн сўм. саноат маҳсулоти ишлаб чиқариш</x:v>
      </x:c>
      <x:c r="F2" s="9" t="str">
        <x:v>2026 йил I ярим йиллик</x:v>
      </x:c>
      <x:c r="G2" s="9" t="str">
        <x:v>II чорак / I ярим йиллик</x:v>
      </x:c>
      <x:c r="H2" s="9" t="str">
        <x:v>Ярим йиллик</x:v>
      </x:c>
      <x:c r="I2" s="9" t="str"/>
      <x:c r="J2" s="9" t="str">
        <x:v>Вилоят</x:v>
      </x:c>
      <x:c r="K2" s="9" t="str">
        <x:v>Андижон вилояти ҳокимлиги</x:v>
      </x:c>
      <x:c r="L2" s="17" t="str"/>
      <x:c r="M2" s="17" t="str"/>
      <x:c r="N2" s="17" t="str"/>
      <x:c r="O2" s="17" t="str"/>
      <x:c r="P2" s="17" t="str"/>
      <x:c r="Q2" s="17" t="str"/>
      <x:c r="R2" s="17" t="str"/>
      <x:c r="S2" s="17" t="str"/>
      <x:c r="T2" s="19" t="str"/>
      <x:c r="U2" s="19" t="str"/>
      <x:c r="V2" s="17" t="str"/>
      <x:c r="W2" s="17" t="str"/>
      <x:c r="X2" s="18" t="str">
        <x:f>IF(COUNTA(L2:W2)=0,"",IF(AND(L2&lt;&gt;"",M2&lt;&gt;"",N2&lt;&gt;"",U2&lt;&gt;"",V2&lt;&gt;"",IF(H2="Ҳар ой",I2&lt;&gt;"",TRUE),IF(OR(L2="Қайтарилди",L2="Рад этилди",M2="Бажарилмади",M2="Муддати кечикди",N2&lt;&gt;"Етарли"),AND(Q2&lt;&gt;"",R2&lt;&gt;"",T2&lt;&gt;""),TRUE)),"Тайёр","Тўлдирилмаган"))</x:f>
        <x:v>Тўлдирилмаган</x:v>
      </x:c>
    </x:row>
    <x:row r="3">
      <x:c r="A3" s="9" t="str">
        <x:v>T-002</x:v>
      </x:c>
      <x:c r="B3" s="9" t="n">
        <x:v>6</x:v>
      </x:c>
      <x:c r="C3" s="9" t="str">
        <x:v>1.2. Саноат йўналишида</x:v>
      </x:c>
      <x:c r="D3" s="9" t="str">
        <x:v>industry</x:v>
      </x:c>
      <x:c r="E3" s="9" t="str">
        <x:v>Вилоятдаги махсус иқтисодий ва саноат зоналарида 1,2 трлн сўм. саноат маҳсулоти ишлаб чиқариш</x:v>
      </x:c>
      <x:c r="F3" s="9" t="str">
        <x:v>2026 йил якуни билан</x:v>
      </x:c>
      <x:c r="G3" s="9" t="str">
        <x:v>IV чорак / йил якуни</x:v>
      </x:c>
      <x:c r="H3" s="9" t="str">
        <x:v>Йил якуни</x:v>
      </x:c>
      <x:c r="I3" s="9" t="str"/>
      <x:c r="J3" s="9" t="str">
        <x:v>Вилоят</x:v>
      </x:c>
      <x:c r="K3" s="9" t="str">
        <x:v>Андижон вилояти ҳокимлиги</x:v>
      </x:c>
      <x:c r="L3" s="17" t="str"/>
      <x:c r="M3" s="17" t="str"/>
      <x:c r="N3" s="17" t="str"/>
      <x:c r="O3" s="17" t="str"/>
      <x:c r="P3" s="17" t="str"/>
      <x:c r="Q3" s="17" t="str"/>
      <x:c r="R3" s="17" t="str"/>
      <x:c r="S3" s="17" t="str"/>
      <x:c r="T3" s="19" t="str"/>
      <x:c r="U3" s="19" t="str"/>
      <x:c r="V3" s="17" t="str"/>
      <x:c r="W3" s="17" t="str"/>
      <x:c r="X3" s="18" t="str">
        <x:f>IF(COUNTA(L3:W3)=0,"",IF(AND(L3&lt;&gt;"",M3&lt;&gt;"",N3&lt;&gt;"",U3&lt;&gt;"",V3&lt;&gt;"",IF(H3="Ҳар ой",I3&lt;&gt;"",TRUE),IF(OR(L3="Қайтарилди",L3="Рад этилди",M3="Бажарилмади",M3="Муддати кечикди",N3&lt;&gt;"Етарли"),AND(Q3&lt;&gt;"",R3&lt;&gt;"",T3&lt;&gt;""),TRUE)),"Тайёр","Тўлдирилмаган"))</x:f>
        <x:v>Тўлдирилмаган</x:v>
      </x:c>
    </x:row>
    <x:row r="4">
      <x:c r="A4" s="9" t="str">
        <x:v>T-003</x:v>
      </x:c>
      <x:c r="B4" s="9" t="n">
        <x:v>7</x:v>
      </x:c>
      <x:c r="C4" s="9" t="str">
        <x:v>1.2. Саноат йўналишида</x:v>
      </x:c>
      <x:c r="D4" s="9" t="str">
        <x:v>industry</x:v>
      </x:c>
      <x:c r="E4"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F4" s="9" t="str">
        <x:v>2026 йил I ярим йиллик</x:v>
      </x:c>
      <x:c r="G4" s="9" t="str">
        <x:v>II чорак / I ярим йиллик</x:v>
      </x:c>
      <x:c r="H4" s="9" t="str">
        <x:v>Ярим йиллик</x:v>
      </x:c>
      <x:c r="I4" s="9" t="str"/>
      <x:c r="J4" s="9" t="str">
        <x:v>Хонобод шаҳри; Шаҳрихон тумани</x:v>
      </x:c>
      <x:c r="K4" s="9" t="str">
        <x:v>Андижон вилояти ҳокимлиги, Хонобод шаҳри ҳокимлиги, Шаҳрихон тумани ҳокимлиги</x:v>
      </x:c>
      <x:c r="L4" s="17" t="str"/>
      <x:c r="M4" s="17" t="str"/>
      <x:c r="N4" s="17" t="str"/>
      <x:c r="O4" s="17" t="str"/>
      <x:c r="P4" s="17" t="str"/>
      <x:c r="Q4" s="17" t="str"/>
      <x:c r="R4" s="17" t="str"/>
      <x:c r="S4" s="17" t="str"/>
      <x:c r="T4" s="19" t="str"/>
      <x:c r="U4" s="19" t="str"/>
      <x:c r="V4" s="17" t="str"/>
      <x:c r="W4" s="17" t="str"/>
      <x:c r="X4" s="18" t="str">
        <x:f>IF(COUNTA(L4:W4)=0,"",IF(AND(L4&lt;&gt;"",M4&lt;&gt;"",N4&lt;&gt;"",U4&lt;&gt;"",V4&lt;&gt;"",IF(H4="Ҳар ой",I4&lt;&gt;"",TRUE),IF(OR(L4="Қайтарилди",L4="Рад этилди",M4="Бажарилмади",M4="Муддати кечикди",N4&lt;&gt;"Етарли"),AND(Q4&lt;&gt;"",R4&lt;&gt;"",T4&lt;&gt;""),TRUE)),"Тайёр","Тўлдирилмаган"))</x:f>
        <x:v>Тўлдирилмаган</x:v>
      </x:c>
    </x:row>
    <x:row r="5">
      <x:c r="A5" s="9" t="str">
        <x:v>T-004</x:v>
      </x:c>
      <x:c r="B5" s="9" t="n">
        <x:v>8</x:v>
      </x:c>
      <x:c r="C5" s="9" t="str">
        <x:v>1.2. Саноат йўналишида</x:v>
      </x:c>
      <x:c r="D5" s="9" t="str">
        <x:v>industry</x:v>
      </x:c>
      <x:c r="E5" s="9" t="str">
        <x:v>Ишлаб чиқариш ҳажмини пасайтирган 6 та йирик корхонага кўмаклашиш орқали биринчи ярим йилликда 55 млрд сўмлик ҳажмларни қайта тиклаш.</x:v>
      </x:c>
      <x:c r="F5" s="9" t="str">
        <x:v>2026 йил I ярим йиллик</x:v>
      </x:c>
      <x:c r="G5" s="9" t="str">
        <x:v>II чорак / I ярим йиллик</x:v>
      </x:c>
      <x:c r="H5" s="9" t="str">
        <x:v>Ярим йиллик</x:v>
      </x:c>
      <x:c r="I5" s="9" t="str"/>
      <x:c r="J5" s="9" t="str">
        <x:v>Вилоят</x:v>
      </x:c>
      <x:c r="K5" s="9" t="str">
        <x:v>Андижон вилояти ҳокимлиги</x:v>
      </x:c>
      <x:c r="L5" s="17" t="str"/>
      <x:c r="M5" s="17" t="str"/>
      <x:c r="N5" s="17" t="str"/>
      <x:c r="O5" s="17" t="str"/>
      <x:c r="P5" s="17" t="str"/>
      <x:c r="Q5" s="17" t="str"/>
      <x:c r="R5" s="17" t="str"/>
      <x:c r="S5" s="17" t="str"/>
      <x:c r="T5" s="19" t="str"/>
      <x:c r="U5" s="19" t="str"/>
      <x:c r="V5" s="17" t="str"/>
      <x:c r="W5" s="17" t="str"/>
      <x:c r="X5" s="18" t="str">
        <x:f>IF(COUNTA(L5:W5)=0,"",IF(AND(L5&lt;&gt;"",M5&lt;&gt;"",N5&lt;&gt;"",U5&lt;&gt;"",V5&lt;&gt;"",IF(H5="Ҳар ой",I5&lt;&gt;"",TRUE),IF(OR(L5="Қайтарилди",L5="Рад этилди",M5="Бажарилмади",M5="Муддати кечикди",N5&lt;&gt;"Етарли"),AND(Q5&lt;&gt;"",R5&lt;&gt;"",T5&lt;&gt;""),TRUE)),"Тайёр","Тўлдирилмаган"))</x:f>
        <x:v>Тўлдирилмаган</x:v>
      </x:c>
    </x:row>
    <x:row r="6">
      <x:c r="A6" s="9" t="str">
        <x:v>T-005</x:v>
      </x:c>
      <x:c r="B6" s="9" t="n">
        <x:v>9</x:v>
      </x:c>
      <x:c r="C6" s="9" t="str">
        <x:v>1.2. Саноат йўналишида</x:v>
      </x:c>
      <x:c r="D6" s="9" t="str">
        <x:v>industry</x:v>
      </x:c>
      <x:c r="E6" s="9" t="str">
        <x:v>Йил якуни билан ишлаб чиқариш ҳажмини пасайтирган 6 та йирик корхонага кўмаклашиш орқали 120 млрд сўмлик ҳажмларни қайта тиклаш.</x:v>
      </x:c>
      <x:c r="F6" s="9" t="str">
        <x:v>2026 йил якуни билан</x:v>
      </x:c>
      <x:c r="G6" s="9" t="str">
        <x:v>IV чорак / йил якуни</x:v>
      </x:c>
      <x:c r="H6" s="9" t="str">
        <x:v>Йил якуни</x:v>
      </x:c>
      <x:c r="I6" s="9" t="str"/>
      <x:c r="J6" s="9" t="str">
        <x:v>Вилоят</x:v>
      </x:c>
      <x:c r="K6" s="9" t="str">
        <x:v>Андижон вилояти ҳокимлиги</x:v>
      </x:c>
      <x:c r="L6" s="17" t="str"/>
      <x:c r="M6" s="17" t="str"/>
      <x:c r="N6" s="17" t="str"/>
      <x:c r="O6" s="17" t="str"/>
      <x:c r="P6" s="17" t="str"/>
      <x:c r="Q6" s="17" t="str"/>
      <x:c r="R6" s="17" t="str"/>
      <x:c r="S6" s="17" t="str"/>
      <x:c r="T6" s="19" t="str"/>
      <x:c r="U6" s="19" t="str"/>
      <x:c r="V6" s="17" t="str"/>
      <x:c r="W6" s="17" t="str"/>
      <x:c r="X6" s="18" t="str">
        <x:f>IF(COUNTA(L6:W6)=0,"",IF(AND(L6&lt;&gt;"",M6&lt;&gt;"",N6&lt;&gt;"",U6&lt;&gt;"",V6&lt;&gt;"",IF(H6="Ҳар ой",I6&lt;&gt;"",TRUE),IF(OR(L6="Қайтарилди",L6="Рад этилди",M6="Бажарилмади",M6="Муддати кечикди",N6&lt;&gt;"Етарли"),AND(Q6&lt;&gt;"",R6&lt;&gt;"",T6&lt;&gt;""),TRUE)),"Тайёр","Тўлдирилмаган"))</x:f>
        <x:v>Тўлдирилмаган</x:v>
      </x:c>
    </x:row>
    <x:row r="7">
      <x:c r="A7" s="9" t="str">
        <x:v>T-006</x:v>
      </x:c>
      <x:c r="B7" s="9" t="n">
        <x:v>10</x:v>
      </x:c>
      <x:c r="C7" s="9" t="str">
        <x:v>1.2. Саноат йўналишида</x:v>
      </x:c>
      <x:c r="D7" s="9" t="str">
        <x:v>industry</x:v>
      </x:c>
      <x:c r="E7" s="9" t="str">
        <x:v>1 335 млн долларлик 307 та лойиҳани ишга тушириш.</x:v>
      </x:c>
      <x:c r="F7" s="9" t="str">
        <x:v>2026 йил якуни билан</x:v>
      </x:c>
      <x:c r="G7" s="9" t="str">
        <x:v>IV чорак / йил якуни</x:v>
      </x:c>
      <x:c r="H7" s="9" t="str">
        <x:v>Йил якуни</x:v>
      </x:c>
      <x:c r="I7" s="9" t="str"/>
      <x:c r="J7" s="9" t="str">
        <x:v>Вилоят</x:v>
      </x:c>
      <x:c r="K7" s="9" t="str">
        <x:v>Андижон вилояти ҳокимлиги</x:v>
      </x:c>
      <x:c r="L7" s="17" t="str"/>
      <x:c r="M7" s="17" t="str"/>
      <x:c r="N7" s="17" t="str"/>
      <x:c r="O7" s="17" t="str"/>
      <x:c r="P7" s="17" t="str"/>
      <x:c r="Q7" s="17" t="str"/>
      <x:c r="R7" s="17" t="str"/>
      <x:c r="S7" s="17" t="str"/>
      <x:c r="T7" s="19" t="str"/>
      <x:c r="U7" s="19" t="str"/>
      <x:c r="V7" s="17" t="str"/>
      <x:c r="W7" s="17" t="str"/>
      <x:c r="X7" s="18" t="str">
        <x:f>IF(COUNTA(L7:W7)=0,"",IF(AND(L7&lt;&gt;"",M7&lt;&gt;"",N7&lt;&gt;"",U7&lt;&gt;"",V7&lt;&gt;"",IF(H7="Ҳар ой",I7&lt;&gt;"",TRUE),IF(OR(L7="Қайтарилди",L7="Рад этилди",M7="Бажарилмади",M7="Муддати кечикди",N7&lt;&gt;"Етарли"),AND(Q7&lt;&gt;"",R7&lt;&gt;"",T7&lt;&gt;""),TRUE)),"Тайёр","Тўлдирилмаган"))</x:f>
        <x:v>Тўлдирилмаган</x:v>
      </x:c>
    </x:row>
    <x:row r="8">
      <x:c r="A8" s="9" t="str">
        <x:v>T-007</x:v>
      </x:c>
      <x:c r="B8" s="9" t="n">
        <x:v>11</x:v>
      </x:c>
      <x:c r="C8" s="9" t="str">
        <x:v>1.2. Саноат йўналишида</x:v>
      </x:c>
      <x:c r="D8" s="9" t="str">
        <x:v>industry</x:v>
      </x:c>
      <x:c r="E8" s="9" t="str">
        <x:v>307 та лойиҳаларнинг 15 тасини махсус иқтисодий зоналарда ва 116 тасини саноат зоналарида ишга тушириш.</x:v>
      </x:c>
      <x:c r="F8" s="9" t="str">
        <x:v>2026 йил якуни билан</x:v>
      </x:c>
      <x:c r="G8" s="9" t="str">
        <x:v>IV чорак / йил якуни</x:v>
      </x:c>
      <x:c r="H8" s="9" t="str">
        <x:v>Йил якуни</x:v>
      </x:c>
      <x:c r="I8" s="9" t="str"/>
      <x:c r="J8" s="9" t="str">
        <x:v>Вилоят</x:v>
      </x:c>
      <x:c r="K8" s="9" t="str">
        <x:v>Андижон вилояти ҳокимлиги</x:v>
      </x:c>
      <x:c r="L8" s="17" t="str"/>
      <x:c r="M8" s="17" t="str"/>
      <x:c r="N8" s="17" t="str"/>
      <x:c r="O8" s="17" t="str"/>
      <x:c r="P8" s="17" t="str"/>
      <x:c r="Q8" s="17" t="str"/>
      <x:c r="R8" s="17" t="str"/>
      <x:c r="S8" s="17" t="str"/>
      <x:c r="T8" s="19" t="str"/>
      <x:c r="U8" s="19" t="str"/>
      <x:c r="V8" s="17" t="str"/>
      <x:c r="W8" s="17" t="str"/>
      <x:c r="X8" s="18" t="str">
        <x:f>IF(COUNTA(L8:W8)=0,"",IF(AND(L8&lt;&gt;"",M8&lt;&gt;"",N8&lt;&gt;"",U8&lt;&gt;"",V8&lt;&gt;"",IF(H8="Ҳар ой",I8&lt;&gt;"",TRUE),IF(OR(L8="Қайтарилди",L8="Рад этилди",M8="Бажарилмади",M8="Муддати кечикди",N8&lt;&gt;"Етарли"),AND(Q8&lt;&gt;"",R8&lt;&gt;"",T8&lt;&gt;""),TRUE)),"Тайёр","Тўлдирилмаган"))</x:f>
        <x:v>Тўлдирилмаган</x:v>
      </x:c>
    </x:row>
    <x:row r="9">
      <x:c r="A9" s="9" t="str">
        <x:v>T-008</x:v>
      </x:c>
      <x:c r="B9" s="9" t="n">
        <x:v>12</x:v>
      </x:c>
      <x:c r="C9" s="9" t="str">
        <x:v>1.2. Саноат йўналишида</x:v>
      </x:c>
      <x:c r="D9" s="9" t="str">
        <x:v>industry</x:v>
      </x:c>
      <x:c r="E9" s="9" t="str">
        <x:v>Фаолиятини вақтинча тўхтатган 242 та корхонада ишлаб чиқариш жараёнларини қайта йўлга қўйиш.</x:v>
      </x:c>
      <x:c r="F9" s="9" t="str">
        <x:v>2026 йил якуни билан</x:v>
      </x:c>
      <x:c r="G9" s="9" t="str">
        <x:v>IV чорак / йил якуни</x:v>
      </x:c>
      <x:c r="H9" s="9" t="str">
        <x:v>Йил якуни</x:v>
      </x:c>
      <x:c r="I9" s="9" t="str"/>
      <x:c r="J9" s="9" t="str">
        <x:v>Вилоят</x:v>
      </x:c>
      <x:c r="K9" s="9" t="str">
        <x:v>Андижон вилояти ҳокимлиги</x:v>
      </x:c>
      <x:c r="L9" s="17" t="str"/>
      <x:c r="M9" s="17" t="str"/>
      <x:c r="N9" s="17" t="str"/>
      <x:c r="O9" s="17" t="str"/>
      <x:c r="P9" s="17" t="str"/>
      <x:c r="Q9" s="17" t="str"/>
      <x:c r="R9" s="17" t="str"/>
      <x:c r="S9" s="17" t="str"/>
      <x:c r="T9" s="19" t="str"/>
      <x:c r="U9" s="19" t="str"/>
      <x:c r="V9" s="17" t="str"/>
      <x:c r="W9" s="17" t="str"/>
      <x:c r="X9" s="18" t="str">
        <x:f>IF(COUNTA(L9:W9)=0,"",IF(AND(L9&lt;&gt;"",M9&lt;&gt;"",N9&lt;&gt;"",U9&lt;&gt;"",V9&lt;&gt;"",IF(H9="Ҳар ой",I9&lt;&gt;"",TRUE),IF(OR(L9="Қайтарилди",L9="Рад этилди",M9="Бажарилмади",M9="Муддати кечикди",N9&lt;&gt;"Етарли"),AND(Q9&lt;&gt;"",R9&lt;&gt;"",T9&lt;&gt;""),TRUE)),"Тайёр","Тўлдирилмаган"))</x:f>
        <x:v>Тўлдирилмаган</x:v>
      </x:c>
    </x:row>
    <x:row r="10">
      <x:c r="A10" s="9" t="str">
        <x:v>T-009</x:v>
      </x:c>
      <x:c r="B10" s="9" t="n">
        <x:v>13</x:v>
      </x:c>
      <x:c r="C10" s="9" t="str">
        <x:v>1.2. Саноат йўналишида</x:v>
      </x:c>
      <x:c r="D10" s="9" t="str">
        <x:v>industry</x:v>
      </x:c>
      <x:c r="E10" s="9" t="str">
        <x:v>Ҳудудий саноатнинг асосий қисмини ташкил этувчи 20 та корхонани ҳар ой таҳлил қилиш.</x:v>
      </x:c>
      <x:c r="F10" s="9" t="str">
        <x:v>2026 йил давомида,ҳар ой</x:v>
      </x:c>
      <x:c r="G10" s="9" t="str">
        <x:v>Ҳар ой</x:v>
      </x:c>
      <x:c r="H10" s="9" t="str">
        <x:v>Ҳар ой</x:v>
      </x:c>
      <x:c r="I10" s="9" t="str">
        <x:v>Ҳар ой</x:v>
      </x:c>
      <x:c r="J10" s="9" t="str">
        <x:v>Вилоят</x:v>
      </x:c>
      <x:c r="K10" s="9" t="str">
        <x:v>Андижон вилояти ҳокимлиги</x:v>
      </x:c>
      <x:c r="L10" s="17" t="str"/>
      <x:c r="M10" s="17" t="str"/>
      <x:c r="N10" s="17" t="str"/>
      <x:c r="O10" s="17" t="str"/>
      <x:c r="P10" s="17" t="str"/>
      <x:c r="Q10" s="17" t="str"/>
      <x:c r="R10" s="17" t="str"/>
      <x:c r="S10" s="17" t="str"/>
      <x:c r="T10" s="19" t="str"/>
      <x:c r="U10" s="19" t="str"/>
      <x:c r="V10" s="17" t="str"/>
      <x:c r="W10" s="17" t="str"/>
      <x:c r="X10" s="18" t="str">
        <x:f>IF(COUNTA(L10:W10)=0,"",IF(AND(L10&lt;&gt;"",M10&lt;&gt;"",N10&lt;&gt;"",U10&lt;&gt;"",V10&lt;&gt;"",IF(H10="Ҳар ой",I10&lt;&gt;"",TRUE),IF(OR(L10="Қайтарилди",L10="Рад этилди",M10="Бажарилмади",M10="Муддати кечикди",N10&lt;&gt;"Етарли"),AND(Q10&lt;&gt;"",R10&lt;&gt;"",T10&lt;&gt;""),TRUE)),"Тайёр","Тўлдирилмаган"))</x:f>
        <x:v>Тўлдирилмаган</x:v>
      </x:c>
    </x:row>
    <x:row r="11">
      <x:c r="A11" s="9" t="str">
        <x:v>T-010</x:v>
      </x:c>
      <x:c r="B11" s="9" t="n">
        <x:v>14</x:v>
      </x:c>
      <x:c r="C11" s="9" t="str">
        <x:v>Саноат йўналишида, шу жумладан маҳаллийлаштириш</x:v>
      </x:c>
      <x:c r="D11" s="9" t="str">
        <x:v>localization</x:v>
      </x:c>
      <x:c r="E11" s="9" t="str">
        <x:v>Маҳаллийлаштириш дастурига асосан йил якунига қадар 12,4 трлн сўмлик маҳсулот ишлаб чиқариш (ўсиш – 35%).</x:v>
      </x:c>
      <x:c r="F11" s="9" t="str">
        <x:v>2026 йил якуни билан</x:v>
      </x:c>
      <x:c r="G11" s="9" t="str">
        <x:v>IV чорак / йил якуни</x:v>
      </x:c>
      <x:c r="H11" s="9" t="str">
        <x:v>Йил якуни</x:v>
      </x:c>
      <x:c r="I11" s="9" t="str"/>
      <x:c r="J11" s="9" t="str">
        <x:v>Вилоят</x:v>
      </x:c>
      <x:c r="K11" s="9" t="str">
        <x:v>Андижон вилояти ҳокимлиги</x:v>
      </x:c>
      <x:c r="L11" s="17" t="str"/>
      <x:c r="M11" s="17" t="str"/>
      <x:c r="N11" s="17" t="str"/>
      <x:c r="O11" s="17" t="str"/>
      <x:c r="P11" s="17" t="str"/>
      <x:c r="Q11" s="17" t="str"/>
      <x:c r="R11" s="17" t="str"/>
      <x:c r="S11" s="17" t="str"/>
      <x:c r="T11" s="19" t="str"/>
      <x:c r="U11" s="19" t="str"/>
      <x:c r="V11" s="17" t="str"/>
      <x:c r="W11" s="17" t="str"/>
      <x:c r="X11" s="18" t="str">
        <x:f>IF(COUNTA(L11:W11)=0,"",IF(AND(L11&lt;&gt;"",M11&lt;&gt;"",N11&lt;&gt;"",U11&lt;&gt;"",V11&lt;&gt;"",IF(H11="Ҳар ой",I11&lt;&gt;"",TRUE),IF(OR(L11="Қайтарилди",L11="Рад этилди",M11="Бажарилмади",M11="Муддати кечикди",N11&lt;&gt;"Етарли"),AND(Q11&lt;&gt;"",R11&lt;&gt;"",T11&lt;&gt;""),TRUE)),"Тайёр","Тўлдирилмаган"))</x:f>
        <x:v>Тўлдирилмаган</x:v>
      </x:c>
    </x:row>
    <x:row r="12">
      <x:c r="A12" s="9" t="str">
        <x:v>T-011</x:v>
      </x:c>
      <x:c r="B12" s="9" t="n">
        <x:v>15</x:v>
      </x:c>
      <x:c r="C12" s="9" t="str">
        <x:v>Саноат йўналишида, шу жумладан маҳаллийлаштириш</x:v>
      </x:c>
      <x:c r="D12" s="9" t="str">
        <x:v>localization</x:v>
      </x:c>
      <x:c r="E12" s="9" t="str">
        <x:v>17 трлн сўмлик давлат харидларини амалга ошириб, унда рақобатли харидлар улушини 70 фоизга етказиш (2025 йилда рақобатли харид улуши 29%).</x:v>
      </x:c>
      <x:c r="F12" s="9" t="str">
        <x:v>2026 йил якуни билан</x:v>
      </x:c>
      <x:c r="G12" s="9" t="str">
        <x:v>IV чорак / йил якуни</x:v>
      </x:c>
      <x:c r="H12" s="9" t="str">
        <x:v>Йил якуни</x:v>
      </x:c>
      <x:c r="I12" s="9" t="str"/>
      <x:c r="J12" s="9" t="str">
        <x:v>Вилоят</x:v>
      </x:c>
      <x:c r="K12" s="9" t="str">
        <x:v>Андижон вилояти ҳокимлиги</x:v>
      </x:c>
      <x:c r="L12" s="17" t="str"/>
      <x:c r="M12" s="17" t="str"/>
      <x:c r="N12" s="17" t="str"/>
      <x:c r="O12" s="17" t="str"/>
      <x:c r="P12" s="17" t="str"/>
      <x:c r="Q12" s="17" t="str"/>
      <x:c r="R12" s="17" t="str"/>
      <x:c r="S12" s="17" t="str"/>
      <x:c r="T12" s="19" t="str"/>
      <x:c r="U12" s="19" t="str"/>
      <x:c r="V12" s="17" t="str"/>
      <x:c r="W12" s="17" t="str"/>
      <x:c r="X12" s="18" t="str">
        <x:f>IF(COUNTA(L12:W12)=0,"",IF(AND(L12&lt;&gt;"",M12&lt;&gt;"",N12&lt;&gt;"",U12&lt;&gt;"",V12&lt;&gt;"",IF(H12="Ҳар ой",I12&lt;&gt;"",TRUE),IF(OR(L12="Қайтарилди",L12="Рад этилди",M12="Бажарилмади",M12="Муддати кечикди",N12&lt;&gt;"Етарли"),AND(Q12&lt;&gt;"",R12&lt;&gt;"",T12&lt;&gt;""),TRUE)),"Тайёр","Тўлдирилмаган"))</x:f>
        <x:v>Тўлдирилмаган</x:v>
      </x:c>
    </x:row>
    <x:row r="13">
      <x:c r="A13" s="9" t="str">
        <x:v>T-012</x:v>
      </x:c>
      <x:c r="B13" s="9" t="n">
        <x:v>16</x:v>
      </x:c>
      <x:c r="C13" s="9" t="str">
        <x:v>Саноат йўналишида, шу жумладан маҳаллийлаштириш</x:v>
      </x:c>
      <x:c r="D13" s="9" t="str">
        <x:v>localization</x:v>
      </x:c>
      <x:c r="E13" s="9" t="str">
        <x:v>2026 йилда ўзлаштириш режалаштирилган 3 342 млн долларлик 138 та хорижий инвестиция иштирокидаги лойиҳалар учун маҳаллий контент ҳажмини 1 505 млн долларга (улуши 45%) етказиш.</x:v>
      </x:c>
      <x:c r="F13" s="9" t="str">
        <x:v>2026 йил якуни билан</x:v>
      </x:c>
      <x:c r="G13" s="9" t="str">
        <x:v>IV чорак / йил якуни</x:v>
      </x:c>
      <x:c r="H13" s="9" t="str">
        <x:v>Йил якуни</x:v>
      </x:c>
      <x:c r="I13" s="9" t="str"/>
      <x:c r="J13" s="9" t="str">
        <x:v>Вилоят</x:v>
      </x:c>
      <x:c r="K13" s="9" t="str">
        <x:v>Андижон вилояти ҳокимлиги</x:v>
      </x:c>
      <x:c r="L13" s="17" t="str"/>
      <x:c r="M13" s="17" t="str"/>
      <x:c r="N13" s="17" t="str"/>
      <x:c r="O13" s="17" t="str"/>
      <x:c r="P13" s="17" t="str"/>
      <x:c r="Q13" s="17" t="str"/>
      <x:c r="R13" s="17" t="str"/>
      <x:c r="S13" s="17" t="str"/>
      <x:c r="T13" s="19" t="str"/>
      <x:c r="U13" s="19" t="str"/>
      <x:c r="V13" s="17" t="str"/>
      <x:c r="W13" s="17" t="str"/>
      <x:c r="X13" s="18" t="str">
        <x:f>IF(COUNTA(L13:W13)=0,"",IF(AND(L13&lt;&gt;"",M13&lt;&gt;"",N13&lt;&gt;"",U13&lt;&gt;"",V13&lt;&gt;"",IF(H13="Ҳар ой",I13&lt;&gt;"",TRUE),IF(OR(L13="Қайтарилди",L13="Рад этилди",M13="Бажарилмади",M13="Муддати кечикди",N13&lt;&gt;"Етарли"),AND(Q13&lt;&gt;"",R13&lt;&gt;"",T13&lt;&gt;""),TRUE)),"Тайёр","Тўлдирилмаган"))</x:f>
        <x:v>Тўлдирилмаган</x:v>
      </x:c>
    </x:row>
    <x:row r="14">
      <x:c r="A14" s="9" t="str">
        <x:v>T-013</x:v>
      </x:c>
      <x:c r="B14" s="9" t="n">
        <x:v>23</x:v>
      </x:c>
      <x:c r="C14" s="9" t="str">
        <x:v>1.3. Бозор хизматлари</x:v>
      </x:c>
      <x:c r="D14" s="9" t="str">
        <x:v>services</x:v>
      </x:c>
      <x:c r="E14" s="9" t="str">
        <x:v>Ҳудудларда туну-кун ишлайдиган (24/7) гавжум кўчалар ташкил этиш бўйича 4 та шаҳар ва туманларининг 6 та кўчаларида қиймати 29,7 млрд сўмлик лойиҳалар амалга ошириб, 77 та янги лойиҳалар ишга туширилиб, 99 та тадбиркорлик субъектлари фаолиятини кенгайтириш ҳисобига 500 га яқин янги иш ўринлари ташкил этиш.</x:v>
      </x:c>
      <x:c r="F14" s="9" t="str">
        <x:v>2026 йил I ярим йиллик</x:v>
      </x:c>
      <x:c r="G14" s="9" t="str">
        <x:v>II чорак / I ярим йиллик</x:v>
      </x:c>
      <x:c r="H14" s="9" t="str">
        <x:v>Ярим йиллик</x:v>
      </x:c>
      <x:c r="I14" s="9" t="str"/>
      <x:c r="J14" s="9" t="str">
        <x:v>Вилоят</x:v>
      </x:c>
      <x:c r="K14" s="9" t="str">
        <x:v>Андижон вилояти ҳокимлиги</x:v>
      </x:c>
      <x:c r="L14" s="17" t="str"/>
      <x:c r="M14" s="17" t="str"/>
      <x:c r="N14" s="17" t="str"/>
      <x:c r="O14" s="17" t="str"/>
      <x:c r="P14" s="17" t="str"/>
      <x:c r="Q14" s="17" t="str"/>
      <x:c r="R14" s="17" t="str"/>
      <x:c r="S14" s="17" t="str"/>
      <x:c r="T14" s="19" t="str"/>
      <x:c r="U14" s="19" t="str"/>
      <x:c r="V14" s="17" t="str"/>
      <x:c r="W14" s="17" t="str"/>
      <x:c r="X14" s="18" t="str">
        <x:f>IF(COUNTA(L14:W14)=0,"",IF(AND(L14&lt;&gt;"",M14&lt;&gt;"",N14&lt;&gt;"",U14&lt;&gt;"",V14&lt;&gt;"",IF(H14="Ҳар ой",I14&lt;&gt;"",TRUE),IF(OR(L14="Қайтарилди",L14="Рад этилди",M14="Бажарилмади",M14="Муддати кечикди",N14&lt;&gt;"Етарли"),AND(Q14&lt;&gt;"",R14&lt;&gt;"",T14&lt;&gt;""),TRUE)),"Тайёр","Тўлдирилмаган"))</x:f>
        <x:v>Тўлдирилмаган</x:v>
      </x:c>
    </x:row>
    <x:row r="15">
      <x:c r="A15" s="9" t="str">
        <x:v>T-014</x:v>
      </x:c>
      <x:c r="B15" s="9" t="n">
        <x:v>24</x:v>
      </x:c>
      <x:c r="C15" s="9" t="str">
        <x:v>1.3. Бозор хизматлари</x:v>
      </x:c>
      <x:c r="D15" s="9" t="str">
        <x:v>services</x:v>
      </x:c>
      <x:c r="E15" s="9" t="str">
        <x:v>Соҳил бўйларида (дарё, канал, кўл) хизматларни ривожлантириш бўйича қиймати 8,9 млрд сўмлик соҳил бўйларида 3 та дам олиш масканлари ва хизмат кўрсатиш шаҳобчалари ташкил этиш.</x:v>
      </x:c>
      <x:c r="F15" s="9" t="str">
        <x:v>2026 йил I ярим йиллик</x:v>
      </x:c>
      <x:c r="G15" s="9" t="str">
        <x:v>II чорак / I ярим йиллик</x:v>
      </x:c>
      <x:c r="H15" s="9" t="str">
        <x:v>Ярим йиллик</x:v>
      </x:c>
      <x:c r="I15" s="9" t="str"/>
      <x:c r="J15" s="9" t="str">
        <x:v>Вилоят</x:v>
      </x:c>
      <x:c r="K15" s="9" t="str">
        <x:v>Андижон вилояти ҳокимлиги</x:v>
      </x:c>
      <x:c r="L15" s="17" t="str"/>
      <x:c r="M15" s="17" t="str"/>
      <x:c r="N15" s="17" t="str"/>
      <x:c r="O15" s="17" t="str"/>
      <x:c r="P15" s="17" t="str"/>
      <x:c r="Q15" s="17" t="str"/>
      <x:c r="R15" s="17" t="str"/>
      <x:c r="S15" s="17" t="str"/>
      <x:c r="T15" s="19" t="str"/>
      <x:c r="U15" s="19" t="str"/>
      <x:c r="V15" s="17" t="str"/>
      <x:c r="W15" s="17" t="str"/>
      <x:c r="X15" s="18" t="str">
        <x:f>IF(COUNTA(L15:W15)=0,"",IF(AND(L15&lt;&gt;"",M15&lt;&gt;"",N15&lt;&gt;"",U15&lt;&gt;"",V15&lt;&gt;"",IF(H15="Ҳар ой",I15&lt;&gt;"",TRUE),IF(OR(L15="Қайтарилди",L15="Рад этилди",M15="Бажарилмади",M15="Муддати кечикди",N15&lt;&gt;"Етарли"),AND(Q15&lt;&gt;"",R15&lt;&gt;"",T15&lt;&gt;""),TRUE)),"Тайёр","Тўлдирилмаган"))</x:f>
        <x:v>Тўлдирилмаган</x:v>
      </x:c>
    </x:row>
    <x:row r="16">
      <x:c r="A16" s="9" t="str">
        <x:v>T-015</x:v>
      </x:c>
      <x:c r="B16" s="9" t="n">
        <x:v>25</x:v>
      </x:c>
      <x:c r="C16" s="9" t="str">
        <x:v>1.3. Бозор хизматлари</x:v>
      </x:c>
      <x:c r="D16" s="9" t="str">
        <x:v>services</x:v>
      </x:c>
      <x:c r="E16" s="9" t="str">
        <x:v>Йўл бўйларида хизмат соҳасини ривожлантириш бўйича 5 та (4 та шаҳар/туманлари) қиймати 12,1 млрд сўмлик 47 та хизмат кўрсатиш шаҳобчалари ташкил этиш.</x:v>
      </x:c>
      <x:c r="F16" s="9" t="str">
        <x:v>2026 йил I ярим йиллик</x:v>
      </x:c>
      <x:c r="G16" s="9" t="str">
        <x:v>II чорак / I ярим йиллик</x:v>
      </x:c>
      <x:c r="H16" s="9" t="str">
        <x:v>Ярим йиллик</x:v>
      </x:c>
      <x:c r="I16" s="9" t="str"/>
      <x:c r="J16" s="9" t="str">
        <x:v>Вилоят</x:v>
      </x:c>
      <x:c r="K16" s="9" t="str">
        <x:v>Андижон вилояти ҳокимлиги</x:v>
      </x:c>
      <x:c r="L16" s="17" t="str"/>
      <x:c r="M16" s="17" t="str"/>
      <x:c r="N16" s="17" t="str"/>
      <x:c r="O16" s="17" t="str"/>
      <x:c r="P16" s="17" t="str"/>
      <x:c r="Q16" s="17" t="str"/>
      <x:c r="R16" s="17" t="str"/>
      <x:c r="S16" s="17" t="str"/>
      <x:c r="T16" s="19" t="str"/>
      <x:c r="U16" s="19" t="str"/>
      <x:c r="V16" s="17" t="str"/>
      <x:c r="W16" s="17" t="str"/>
      <x:c r="X16" s="18" t="str">
        <x:f>IF(COUNTA(L16:W16)=0,"",IF(AND(L16&lt;&gt;"",M16&lt;&gt;"",N16&lt;&gt;"",U16&lt;&gt;"",V16&lt;&gt;"",IF(H16="Ҳар ой",I16&lt;&gt;"",TRUE),IF(OR(L16="Қайтарилди",L16="Рад этилди",M16="Бажарилмади",M16="Муддати кечикди",N16&lt;&gt;"Етарли"),AND(Q16&lt;&gt;"",R16&lt;&gt;"",T16&lt;&gt;""),TRUE)),"Тайёр","Тўлдирилмаган"))</x:f>
        <x:v>Тўлдирилмаган</x:v>
      </x:c>
    </x:row>
    <x:row r="17">
      <x:c r="A17" s="9" t="str">
        <x:v>T-016</x:v>
      </x:c>
      <x:c r="B17" s="9" t="n">
        <x:v>28</x:v>
      </x:c>
      <x:c r="C17" s="9" t="str">
        <x:v>1.4. Қишлоқ хўжалиги</x:v>
      </x:c>
      <x:c r="D17" s="9" t="str">
        <x:v>agriculture</x:v>
      </x:c>
      <x:c r="E17" s="9" t="str">
        <x:v>Деҳқончилик йўналишида умумий қиймати 424,5 млрд сўмлик 8 та, чорвачилик йўналишида 268,1 млрд сўмлик 38 та янги лойиҳалар ишга тушириш.</x:v>
      </x:c>
      <x:c r="F17" s="9" t="str">
        <x:v>2026 йил I ярим йиллик</x:v>
      </x:c>
      <x:c r="G17" s="9" t="str">
        <x:v>II чорак / I ярим йиллик</x:v>
      </x:c>
      <x:c r="H17" s="9" t="str">
        <x:v>Ярим йиллик</x:v>
      </x:c>
      <x:c r="I17" s="9" t="str"/>
      <x:c r="J17" s="9" t="str">
        <x:v>Вилоят</x:v>
      </x:c>
      <x:c r="K17" s="9" t="str">
        <x:v>Андижон вилояти ҳокимлиги</x:v>
      </x:c>
      <x:c r="L17" s="17" t="str"/>
      <x:c r="M17" s="17" t="str"/>
      <x:c r="N17" s="17" t="str"/>
      <x:c r="O17" s="17" t="str"/>
      <x:c r="P17" s="17" t="str"/>
      <x:c r="Q17" s="17" t="str"/>
      <x:c r="R17" s="17" t="str"/>
      <x:c r="S17" s="17" t="str"/>
      <x:c r="T17" s="19" t="str"/>
      <x:c r="U17" s="19" t="str"/>
      <x:c r="V17" s="17" t="str"/>
      <x:c r="W17" s="17" t="str"/>
      <x:c r="X17" s="18" t="str">
        <x:f>IF(COUNTA(L17:W17)=0,"",IF(AND(L17&lt;&gt;"",M17&lt;&gt;"",N17&lt;&gt;"",U17&lt;&gt;"",V17&lt;&gt;"",IF(H17="Ҳар ой",I17&lt;&gt;"",TRUE),IF(OR(L17="Қайтарилди",L17="Рад этилди",M17="Бажарилмади",M17="Муддати кечикди",N17&lt;&gt;"Етарли"),AND(Q17&lt;&gt;"",R17&lt;&gt;"",T17&lt;&gt;""),TRUE)),"Тайёр","Тўлдирилмаган"))</x:f>
        <x:v>Тўлдирилмаган</x:v>
      </x:c>
    </x:row>
    <x:row r="18">
      <x:c r="A18" s="9" t="str">
        <x:v>T-017</x:v>
      </x:c>
      <x:c r="B18" s="9" t="n">
        <x:v>30</x:v>
      </x:c>
      <x:c r="C18" s="9" t="str">
        <x:v>1.5. Қурилиш</x:v>
      </x:c>
      <x:c r="D18" s="9" t="str">
        <x:v>construction</x:v>
      </x:c>
      <x:c r="E18" s="9" t="str">
        <x:v>30 та хонадонли 1 361 та кўп қаватли уйлар фойдаланишга топшириш.</x:v>
      </x:c>
      <x:c r="F18" s="9" t="str">
        <x:v>2026 йил I ярим йиллик</x:v>
      </x:c>
      <x:c r="G18" s="9" t="str">
        <x:v>II чорак / I ярим йиллик</x:v>
      </x:c>
      <x:c r="H18" s="9" t="str">
        <x:v>Ярим йиллик</x:v>
      </x:c>
      <x:c r="I18" s="9" t="str"/>
      <x:c r="J18" s="9" t="str">
        <x:v>Вилоят</x:v>
      </x:c>
      <x:c r="K18" s="9" t="str">
        <x:v>Андижон вилояти ҳокимлиги</x:v>
      </x:c>
      <x:c r="L18" s="17" t="str"/>
      <x:c r="M18" s="17" t="str"/>
      <x:c r="N18" s="17" t="str"/>
      <x:c r="O18" s="17" t="str"/>
      <x:c r="P18" s="17" t="str"/>
      <x:c r="Q18" s="17" t="str"/>
      <x:c r="R18" s="17" t="str"/>
      <x:c r="S18" s="17" t="str"/>
      <x:c r="T18" s="19" t="str"/>
      <x:c r="U18" s="19" t="str"/>
      <x:c r="V18" s="17" t="str"/>
      <x:c r="W18" s="17" t="str"/>
      <x:c r="X18" s="18" t="str">
        <x:f>IF(COUNTA(L18:W18)=0,"",IF(AND(L18&lt;&gt;"",M18&lt;&gt;"",N18&lt;&gt;"",U18&lt;&gt;"",V18&lt;&gt;"",IF(H18="Ҳар ой",I18&lt;&gt;"",TRUE),IF(OR(L18="Қайтарилди",L18="Рад этилди",M18="Бажарилмади",M18="Муддати кечикди",N18&lt;&gt;"Етарли"),AND(Q18&lt;&gt;"",R18&lt;&gt;"",T18&lt;&gt;""),TRUE)),"Тайёр","Тўлдирилмаган"))</x:f>
        <x:v>Тўлдирилмаган</x:v>
      </x:c>
    </x:row>
    <x:row r="19">
      <x:c r="A19" s="9" t="str">
        <x:v>T-018</x:v>
      </x:c>
      <x:c r="B19" s="9" t="n">
        <x:v>32</x:v>
      </x:c>
      <x:c r="C19" s="9" t="str">
        <x:v>1.5. Қурилиш</x:v>
      </x:c>
      <x:c r="D19" s="9" t="str">
        <x:v>construction</x:v>
      </x:c>
      <x:c r="E19" s="9" t="str">
        <x:v>211 та хонадонли 9 525 та кўп қаватли уйлар фойдаланишга топшириш.</x:v>
      </x:c>
      <x:c r="F19" s="9" t="str">
        <x:v>2026 йил якуни билан</x:v>
      </x:c>
      <x:c r="G19" s="9" t="str">
        <x:v>IV чорак / йил якуни</x:v>
      </x:c>
      <x:c r="H19" s="9" t="str">
        <x:v>Йил якуни</x:v>
      </x:c>
      <x:c r="I19" s="9" t="str"/>
      <x:c r="J19" s="9" t="str">
        <x:v>Вилоят</x:v>
      </x:c>
      <x:c r="K19" s="9" t="str">
        <x:v>Андижон вилояти ҳокимлиги</x:v>
      </x:c>
      <x:c r="L19" s="17" t="str"/>
      <x:c r="M19" s="17" t="str"/>
      <x:c r="N19" s="17" t="str"/>
      <x:c r="O19" s="17" t="str"/>
      <x:c r="P19" s="17" t="str"/>
      <x:c r="Q19" s="17" t="str"/>
      <x:c r="R19" s="17" t="str"/>
      <x:c r="S19" s="17" t="str"/>
      <x:c r="T19" s="19" t="str"/>
      <x:c r="U19" s="19" t="str"/>
      <x:c r="V19" s="17" t="str"/>
      <x:c r="W19" s="17" t="str"/>
      <x:c r="X19" s="18" t="str">
        <x:f>IF(COUNTA(L19:W19)=0,"",IF(AND(L19&lt;&gt;"",M19&lt;&gt;"",N19&lt;&gt;"",U19&lt;&gt;"",V19&lt;&gt;"",IF(H19="Ҳар ой",I19&lt;&gt;"",TRUE),IF(OR(L19="Қайтарилди",L19="Рад этилди",M19="Бажарилмади",M19="Муддати кечикди",N19&lt;&gt;"Етарли"),AND(Q19&lt;&gt;"",R19&lt;&gt;"",T19&lt;&gt;""),TRUE)),"Тайёр","Тўлдирилмаган"))</x:f>
        <x:v>Тўлдирилмаган</x:v>
      </x:c>
    </x:row>
    <x:row r="20">
      <x:c r="A20" s="9" t="str">
        <x:v>T-019</x:v>
      </x:c>
      <x:c r="B20" s="9" t="n">
        <x:v>35</x:v>
      </x:c>
      <x:c r="C20" s="9" t="str">
        <x:v>II. Инфляцияни прогнозлар даражасида таъминлаш ва асосий озиқ-овқат нархлари барқарорлигини сақлаш</x:v>
      </x:c>
      <x:c r="D20" s="9" t="str">
        <x:v>inflation</x:v>
      </x:c>
      <x:c r="E20" s="9" t="str">
        <x:v>Асосий озиқ-овқат маҳсулотлари йиллик нархларини барқарор сақлаш, бунда: гўшт ва гўшт маҳсулотларини 6-7 фоиздан; тухум 5-6 фоиз; сут ва сут маҳсулотлари 6-7 фоиз; картошка 4-5 фоиз; пиёз 5 фоиздан; сабзи 5 фоиздан оширмаслик;</x:v>
      </x:c>
      <x:c r="F20" s="9" t="str">
        <x:v>2026 йил давомида</x:v>
      </x:c>
      <x:c r="G20" s="9" t="str">
        <x:v>IV чорак / йил якуни</x:v>
      </x:c>
      <x:c r="H20" s="9" t="str">
        <x:v>Доимий / давомида</x:v>
      </x:c>
      <x:c r="I20" s="9" t="str"/>
      <x:c r="J20" s="9" t="str">
        <x:v>Вилоят</x:v>
      </x:c>
      <x:c r="K20" s="9" t="str">
        <x:v>Андижон вилояти ҳокимлиги</x:v>
      </x:c>
      <x:c r="L20" s="17" t="str"/>
      <x:c r="M20" s="17" t="str"/>
      <x:c r="N20" s="17" t="str"/>
      <x:c r="O20" s="17" t="str"/>
      <x:c r="P20" s="17" t="str"/>
      <x:c r="Q20" s="17" t="str"/>
      <x:c r="R20" s="17" t="str"/>
      <x:c r="S20" s="17" t="str"/>
      <x:c r="T20" s="19" t="str"/>
      <x:c r="U20" s="19" t="str"/>
      <x:c r="V20" s="17" t="str"/>
      <x:c r="W20" s="17" t="str"/>
      <x:c r="X20" s="18" t="str">
        <x:f>IF(COUNTA(L20:W20)=0,"",IF(AND(L20&lt;&gt;"",M20&lt;&gt;"",N20&lt;&gt;"",U20&lt;&gt;"",V20&lt;&gt;"",IF(H20="Ҳар ой",I20&lt;&gt;"",TRUE),IF(OR(L20="Қайтарилди",L20="Рад этилди",M20="Бажарилмади",M20="Муддати кечикди",N20&lt;&gt;"Етарли"),AND(Q20&lt;&gt;"",R20&lt;&gt;"",T20&lt;&gt;""),TRUE)),"Тайёр","Тўлдирилмаган"))</x:f>
        <x:v>Тўлдирилмаган</x:v>
      </x:c>
    </x:row>
    <x:row r="21">
      <x:c r="A21" s="9" t="str">
        <x:v>T-020</x:v>
      </x:c>
      <x:c r="B21" s="9" t="n">
        <x:v>36</x:v>
      </x:c>
      <x:c r="C21" s="9" t="str">
        <x:v>II. Инфляцияни прогнозлар даражасида таъминлаш ва асосий озиқ-овқат нархлари барқарорлигини сақлаш</x:v>
      </x:c>
      <x:c r="D21" s="9" t="str">
        <x:v>inflation</x:v>
      </x:c>
      <x:c r="E21" s="9" t="str">
        <x:v>Помидор, бодринг ва мевалар нархига мавсумий омиллар таъсирини пасайтириш.</x:v>
      </x:c>
      <x:c r="F21" s="9" t="str">
        <x:v>2026 йил давомида</x:v>
      </x:c>
      <x:c r="G21" s="9" t="str">
        <x:v>IV чорак / йил якуни</x:v>
      </x:c>
      <x:c r="H21" s="9" t="str">
        <x:v>Доимий / давомида</x:v>
      </x:c>
      <x:c r="I21" s="9" t="str"/>
      <x:c r="J21" s="9" t="str">
        <x:v>Вилоят</x:v>
      </x:c>
      <x:c r="K21" s="9" t="str">
        <x:v>Андижон вилояти ҳокимлиги</x:v>
      </x:c>
      <x:c r="L21" s="17" t="str"/>
      <x:c r="M21" s="17" t="str"/>
      <x:c r="N21" s="17" t="str"/>
      <x:c r="O21" s="17" t="str"/>
      <x:c r="P21" s="17" t="str"/>
      <x:c r="Q21" s="17" t="str"/>
      <x:c r="R21" s="17" t="str"/>
      <x:c r="S21" s="17" t="str"/>
      <x:c r="T21" s="19" t="str"/>
      <x:c r="U21" s="19" t="str"/>
      <x:c r="V21" s="17" t="str"/>
      <x:c r="W21" s="17" t="str"/>
      <x:c r="X21" s="18" t="str">
        <x:f>IF(COUNTA(L21:W21)=0,"",IF(AND(L21&lt;&gt;"",M21&lt;&gt;"",N21&lt;&gt;"",U21&lt;&gt;"",V21&lt;&gt;"",IF(H21="Ҳар ой",I21&lt;&gt;"",TRUE),IF(OR(L21="Қайтарилди",L21="Рад этилди",M21="Бажарилмади",M21="Муддати кечикди",N21&lt;&gt;"Етарли"),AND(Q21&lt;&gt;"",R21&lt;&gt;"",T21&lt;&gt;""),TRUE)),"Тайёр","Тўлдирилмаган"))</x:f>
        <x:v>Тўлдирилмаган</x:v>
      </x:c>
    </x:row>
    <x:row r="22">
      <x:c r="A22" s="9" t="str">
        <x:v>T-021</x:v>
      </x:c>
      <x:c r="B22" s="9" t="n">
        <x:v>37</x:v>
      </x:c>
      <x:c r="C22" s="9" t="str">
        <x:v>II. Инфляцияни прогнозлар даражасида таъминлаш ва асосий озиқ-овқат нархлари барқарорлигини сақлаш</x:v>
      </x:c>
      <x:c r="D22" s="9" t="str">
        <x:v>inflation</x:v>
      </x:c>
      <x:c r="E22" s="9" t="str">
        <x:v>Гуруч нархини 2025 йил даражасида сақлаб туриш.</x:v>
      </x:c>
      <x:c r="F22" s="9" t="str">
        <x:v>2026 йил давомида</x:v>
      </x:c>
      <x:c r="G22" s="9" t="str">
        <x:v>IV чорак / йил якуни</x:v>
      </x:c>
      <x:c r="H22" s="9" t="str">
        <x:v>Доимий / давомида</x:v>
      </x:c>
      <x:c r="I22" s="9" t="str"/>
      <x:c r="J22" s="9" t="str">
        <x:v>Вилоят</x:v>
      </x:c>
      <x:c r="K22" s="9" t="str">
        <x:v>Андижон вилояти ҳокимлиги</x:v>
      </x:c>
      <x:c r="L22" s="17" t="str"/>
      <x:c r="M22" s="17" t="str"/>
      <x:c r="N22" s="17" t="str"/>
      <x:c r="O22" s="17" t="str"/>
      <x:c r="P22" s="17" t="str"/>
      <x:c r="Q22" s="17" t="str"/>
      <x:c r="R22" s="17" t="str"/>
      <x:c r="S22" s="17" t="str"/>
      <x:c r="T22" s="19" t="str"/>
      <x:c r="U22" s="19" t="str"/>
      <x:c r="V22" s="17" t="str"/>
      <x:c r="W22" s="17" t="str"/>
      <x:c r="X22" s="18" t="str">
        <x:f>IF(COUNTA(L22:W22)=0,"",IF(AND(L22&lt;&gt;"",M22&lt;&gt;"",N22&lt;&gt;"",U22&lt;&gt;"",V22&lt;&gt;"",IF(H22="Ҳар ой",I22&lt;&gt;"",TRUE),IF(OR(L22="Қайтарилди",L22="Рад этилди",M22="Бажарилмади",M22="Муддати кечикди",N22&lt;&gt;"Етарли"),AND(Q22&lt;&gt;"",R22&lt;&gt;"",T22&lt;&gt;""),TRUE)),"Тайёр","Тўлдирилмаган"))</x:f>
        <x:v>Тўлдирилмаган</x:v>
      </x:c>
    </x:row>
    <x:row r="23">
      <x:c r="A23" s="9" t="str">
        <x:v>T-022</x:v>
      </x:c>
      <x:c r="B23" s="9" t="n">
        <x:v>38</x:v>
      </x:c>
      <x:c r="C23" s="9" t="str">
        <x:v>II. Инфляцияни прогнозлар даражасида таъминлаш ва асосий озиқ-овқат нархлари барқарорлигини сақлаш</x:v>
      </x:c>
      <x:c r="D23" s="9" t="str">
        <x:v>inflation</x:v>
      </x:c>
      <x:c r="E23" s="9" t="str">
        <x:v>Уннинг ўртача нархларини 2025 йил даражасида сақлаш.</x:v>
      </x:c>
      <x:c r="F23" s="9" t="str">
        <x:v>2026 йил давомида</x:v>
      </x:c>
      <x:c r="G23" s="9" t="str">
        <x:v>IV чорак / йил якуни</x:v>
      </x:c>
      <x:c r="H23" s="9" t="str">
        <x:v>Доимий / давомида</x:v>
      </x:c>
      <x:c r="I23" s="9" t="str"/>
      <x:c r="J23" s="9" t="str">
        <x:v>Вилоят</x:v>
      </x:c>
      <x:c r="K23" s="9" t="str">
        <x:v>Андижон вилояти ҳокимлиги</x:v>
      </x:c>
      <x:c r="L23" s="17" t="str"/>
      <x:c r="M23" s="17" t="str"/>
      <x:c r="N23" s="17" t="str"/>
      <x:c r="O23" s="17" t="str"/>
      <x:c r="P23" s="17" t="str"/>
      <x:c r="Q23" s="17" t="str"/>
      <x:c r="R23" s="17" t="str"/>
      <x:c r="S23" s="17" t="str"/>
      <x:c r="T23" s="19" t="str"/>
      <x:c r="U23" s="19" t="str"/>
      <x:c r="V23" s="17" t="str"/>
      <x:c r="W23" s="17" t="str"/>
      <x:c r="X23" s="18" t="str">
        <x:f>IF(COUNTA(L23:W23)=0,"",IF(AND(L23&lt;&gt;"",M23&lt;&gt;"",N23&lt;&gt;"",U23&lt;&gt;"",V23&lt;&gt;"",IF(H23="Ҳар ой",I23&lt;&gt;"",TRUE),IF(OR(L23="Қайтарилди",L23="Рад этилди",M23="Бажарилмади",M23="Муддати кечикди",N23&lt;&gt;"Етарли"),AND(Q23&lt;&gt;"",R23&lt;&gt;"",T23&lt;&gt;""),TRUE)),"Тайёр","Тўлдирилмаган"))</x:f>
        <x:v>Тўлдирилмаган</x:v>
      </x:c>
    </x:row>
    <x:row r="24">
      <x:c r="A24" s="9" t="str">
        <x:v>T-023</x:v>
      </x:c>
      <x:c r="B24" s="9" t="n">
        <x:v>39</x:v>
      </x:c>
      <x:c r="C24" s="9" t="str">
        <x:v>II. Инфляцияни прогнозлар даражасида таъминлаш ва асосий озиқ-овқат нархлари барқарорлигини сақлаш</x:v>
      </x:c>
      <x:c r="D24" s="9" t="str">
        <x:v>inflation</x:v>
      </x:c>
      <x:c r="E24" s="9" t="str">
        <x:v>Коммунал хизмат тарифлари режа график асосида Иқтисодиёт ва молия вазирлиги билан келишган ҳолда қайта кўриб чиқилади. Жумладан, ичимлик суви таъминоти ва оқова сув хизматлари 50 фоиз, маиший чиқинди ташиш 10 фоиз ҳамда жамоат транспорти хизматлари тарифларини 10 фоиздан юқори даражада оширмаслик</x:v>
      </x:c>
      <x:c r="F24" s="9" t="str">
        <x:v>2026 йил давомида</x:v>
      </x:c>
      <x:c r="G24" s="9" t="str">
        <x:v>IV чорак / йил якуни</x:v>
      </x:c>
      <x:c r="H24" s="9" t="str">
        <x:v>Доимий / давомида</x:v>
      </x:c>
      <x:c r="I24" s="9" t="str"/>
      <x:c r="J24" s="9" t="str">
        <x:v>Вилоят</x:v>
      </x:c>
      <x:c r="K24" s="9" t="str">
        <x:v>Андижон вилояти ҳокимлиги</x:v>
      </x:c>
      <x:c r="L24" s="17" t="str"/>
      <x:c r="M24" s="17" t="str"/>
      <x:c r="N24" s="17" t="str"/>
      <x:c r="O24" s="17" t="str"/>
      <x:c r="P24" s="17" t="str"/>
      <x:c r="Q24" s="17" t="str"/>
      <x:c r="R24" s="17" t="str"/>
      <x:c r="S24" s="17" t="str"/>
      <x:c r="T24" s="19" t="str"/>
      <x:c r="U24" s="19" t="str"/>
      <x:c r="V24" s="17" t="str"/>
      <x:c r="W24" s="17" t="str"/>
      <x:c r="X24" s="18" t="str">
        <x:f>IF(COUNTA(L24:W24)=0,"",IF(AND(L24&lt;&gt;"",M24&lt;&gt;"",N24&lt;&gt;"",U24&lt;&gt;"",V24&lt;&gt;"",IF(H24="Ҳар ой",I24&lt;&gt;"",TRUE),IF(OR(L24="Қайтарилди",L24="Рад этилди",M24="Бажарилмади",M24="Муддати кечикди",N24&lt;&gt;"Етарли"),AND(Q24&lt;&gt;"",R24&lt;&gt;"",T24&lt;&gt;""),TRUE)),"Тайёр","Тўлдирилмаган"))</x:f>
        <x:v>Тўлдирилмаган</x:v>
      </x:c>
    </x:row>
    <x:row r="25">
      <x:c r="A25" s="9" t="str">
        <x:v>T-024</x:v>
      </x:c>
      <x:c r="B25" s="9" t="n">
        <x:v>40</x:v>
      </x:c>
      <x:c r="C25" s="9" t="str">
        <x:v>II. Инфляцияни прогнозлар даражасида таъминлаш ва асосий озиқ-овқат нархлари барқарорлигини сақлаш</x:v>
      </x:c>
      <x:c r="D25" s="9" t="str">
        <x:v>inflation</x:v>
      </x:c>
      <x:c r="E25" s="9" t="str">
        <x:v>Аҳоли истеъмоли учун ҳар ой 9 минг 878 тонна мол гўшти, 2 минг 334 тонна қўй гўшти, 2 минг 275 тонна парранда гўшти етказиб бериш.</x:v>
      </x:c>
      <x:c r="F25" s="9" t="str">
        <x:v>2026 йил давомида, ҳар ой</x:v>
      </x:c>
      <x:c r="G25" s="9" t="str">
        <x:v>Ҳар ой</x:v>
      </x:c>
      <x:c r="H25" s="9" t="str">
        <x:v>Ҳар ой</x:v>
      </x:c>
      <x:c r="I25" s="9" t="str">
        <x:v>Ҳар ой</x:v>
      </x:c>
      <x:c r="J25" s="9" t="str">
        <x:v>Вилоят</x:v>
      </x:c>
      <x:c r="K25" s="9" t="str">
        <x:v>Андижон вилояти ҳокимлиги</x:v>
      </x:c>
      <x:c r="L25" s="17" t="str"/>
      <x:c r="M25" s="17" t="str"/>
      <x:c r="N25" s="17" t="str"/>
      <x:c r="O25" s="17" t="str"/>
      <x:c r="P25" s="17" t="str"/>
      <x:c r="Q25" s="17" t="str"/>
      <x:c r="R25" s="17" t="str"/>
      <x:c r="S25" s="17" t="str"/>
      <x:c r="T25" s="19" t="str"/>
      <x:c r="U25" s="19" t="str"/>
      <x:c r="V25" s="17" t="str"/>
      <x:c r="W25" s="17" t="str"/>
      <x:c r="X25" s="18" t="str">
        <x:f>IF(COUNTA(L25:W25)=0,"",IF(AND(L25&lt;&gt;"",M25&lt;&gt;"",N25&lt;&gt;"",U25&lt;&gt;"",V25&lt;&gt;"",IF(H25="Ҳар ой",I25&lt;&gt;"",TRUE),IF(OR(L25="Қайтарилди",L25="Рад этилди",M25="Бажарилмади",M25="Муддати кечикди",N25&lt;&gt;"Етарли"),AND(Q25&lt;&gt;"",R25&lt;&gt;"",T25&lt;&gt;""),TRUE)),"Тайёр","Тўлдирилмаган"))</x:f>
        <x:v>Тўлдирилмаган</x:v>
      </x:c>
    </x:row>
    <x:row r="26">
      <x:c r="A26" s="9" t="str">
        <x:v>T-025</x:v>
      </x:c>
      <x:c r="B26" s="9" t="n">
        <x:v>41</x:v>
      </x:c>
      <x:c r="C26" s="9" t="str">
        <x:v>II. Инфляцияни прогнозлар даражасида таъминлаш ва асосий озиқ-овқат нархлари барқарорлигини сақлаш</x:v>
      </x:c>
      <x:c r="D26" s="9" t="str">
        <x:v>inflation</x:v>
      </x:c>
      <x:c r="E26" s="9" t="str">
        <x:v>Биринчи ярим йиллик якуни билан вилоятда жами 1 минг 300 тонна сиғимли совутгичли 4 та мева-сабзавот маҳсулотларини сақловчи совутгичли омборлар ишга тушириш.</x:v>
      </x:c>
      <x:c r="F26" s="9" t="str">
        <x:v>2026 йил I ярим йиллик</x:v>
      </x:c>
      <x:c r="G26" s="9" t="str">
        <x:v>II чорак / I ярим йиллик</x:v>
      </x:c>
      <x:c r="H26" s="9" t="str">
        <x:v>Ярим йиллик</x:v>
      </x:c>
      <x:c r="I26" s="9" t="str"/>
      <x:c r="J26" s="9" t="str">
        <x:v>Вилоят</x:v>
      </x:c>
      <x:c r="K26" s="9" t="str">
        <x:v>Андижон вилояти ҳокимлиги</x:v>
      </x:c>
      <x:c r="L26" s="17" t="str"/>
      <x:c r="M26" s="17" t="str"/>
      <x:c r="N26" s="17" t="str"/>
      <x:c r="O26" s="17" t="str"/>
      <x:c r="P26" s="17" t="str"/>
      <x:c r="Q26" s="17" t="str"/>
      <x:c r="R26" s="17" t="str"/>
      <x:c r="S26" s="17" t="str"/>
      <x:c r="T26" s="19" t="str"/>
      <x:c r="U26" s="19" t="str"/>
      <x:c r="V26" s="17" t="str"/>
      <x:c r="W26" s="17" t="str"/>
      <x:c r="X26" s="18" t="str">
        <x:f>IF(COUNTA(L26:W26)=0,"",IF(AND(L26&lt;&gt;"",M26&lt;&gt;"",N26&lt;&gt;"",U26&lt;&gt;"",V26&lt;&gt;"",IF(H26="Ҳар ой",I26&lt;&gt;"",TRUE),IF(OR(L26="Қайтарилди",L26="Рад этилди",M26="Бажарилмади",M26="Муддати кечикди",N26&lt;&gt;"Етарли"),AND(Q26&lt;&gt;"",R26&lt;&gt;"",T26&lt;&gt;""),TRUE)),"Тайёр","Тўлдирилмаган"))</x:f>
        <x:v>Тўлдирилмаган</x:v>
      </x:c>
    </x:row>
    <x:row r="27">
      <x:c r="A27" s="9" t="str">
        <x:v>T-026</x:v>
      </x:c>
      <x:c r="B27" s="9" t="n">
        <x:v>42</x:v>
      </x:c>
      <x:c r="C27" s="9" t="str">
        <x:v>II. Инфляцияни прогнозлар даражасида таъминлаш ва асосий озиқ-овқат нархлари барқарорлигини сақлаш</x:v>
      </x:c>
      <x:c r="D27" s="9" t="str">
        <x:v>inflation</x:v>
      </x:c>
      <x:c r="E27" s="9" t="str">
        <x:v>Вилоятда жами 8 810 тонна сиғимли 33 та мева-сабзавот маҳсулотларини сақловчи совутгичли омборлар ташкил этиш.</x:v>
      </x:c>
      <x:c r="F27" s="9" t="str">
        <x:v>2026 йил якуни билан</x:v>
      </x:c>
      <x:c r="G27" s="9" t="str">
        <x:v>IV чорак / йил якуни</x:v>
      </x:c>
      <x:c r="H27" s="9" t="str">
        <x:v>Йил якуни</x:v>
      </x:c>
      <x:c r="I27" s="9" t="str"/>
      <x:c r="J27" s="9" t="str">
        <x:v>Вилоят</x:v>
      </x:c>
      <x:c r="K27" s="9" t="str">
        <x:v>Андижон вилояти ҳокимлиги</x:v>
      </x:c>
      <x:c r="L27" s="17" t="str"/>
      <x:c r="M27" s="17" t="str"/>
      <x:c r="N27" s="17" t="str"/>
      <x:c r="O27" s="17" t="str"/>
      <x:c r="P27" s="17" t="str"/>
      <x:c r="Q27" s="17" t="str"/>
      <x:c r="R27" s="17" t="str"/>
      <x:c r="S27" s="17" t="str"/>
      <x:c r="T27" s="19" t="str"/>
      <x:c r="U27" s="19" t="str"/>
      <x:c r="V27" s="17" t="str"/>
      <x:c r="W27" s="17" t="str"/>
      <x:c r="X27" s="18" t="str">
        <x:f>IF(COUNTA(L27:W27)=0,"",IF(AND(L27&lt;&gt;"",M27&lt;&gt;"",N27&lt;&gt;"",U27&lt;&gt;"",V27&lt;&gt;"",IF(H27="Ҳар ой",I27&lt;&gt;"",TRUE),IF(OR(L27="Қайтарилди",L27="Рад этилди",M27="Бажарилмади",M27="Муддати кечикди",N27&lt;&gt;"Етарли"),AND(Q27&lt;&gt;"",R27&lt;&gt;"",T27&lt;&gt;""),TRUE)),"Тайёр","Тўлдирилмаган"))</x:f>
        <x:v>Тўлдирилмаган</x:v>
      </x:c>
    </x:row>
    <x:row r="28">
      <x:c r="A28" s="9" t="str">
        <x:v>T-027</x:v>
      </x:c>
      <x:c r="B28" s="9" t="n">
        <x:v>43</x:v>
      </x:c>
      <x:c r="C28" s="9" t="str">
        <x:v>II. Инфляцияни прогнозлар даражасида таъминлаш ва асосий озиқ-овқат нархлари барқарорлигини сақлаш</x:v>
      </x:c>
      <x:c r="D28" s="9" t="str">
        <x:v>inflation</x:v>
      </x:c>
      <x:c r="E28" s="9" t="str">
        <x:v>Биринчи ярим йил якунигача вилоятда 800 бош наслли қорамол, 950 бош майда шохли қорамол хориждан олиб келиш.</x:v>
      </x:c>
      <x:c r="F28" s="9" t="str">
        <x:v>2026 йил I ярим йиллик</x:v>
      </x:c>
      <x:c r="G28" s="9" t="str">
        <x:v>II чорак / I ярим йиллик</x:v>
      </x:c>
      <x:c r="H28" s="9" t="str">
        <x:v>Ярим йиллик</x:v>
      </x:c>
      <x:c r="I28" s="9" t="str"/>
      <x:c r="J28" s="9" t="str">
        <x:v>Вилоят</x:v>
      </x:c>
      <x:c r="K28" s="9" t="str">
        <x:v>Андижон вилояти ҳокимлиги</x:v>
      </x:c>
      <x:c r="L28" s="17" t="str"/>
      <x:c r="M28" s="17" t="str"/>
      <x:c r="N28" s="17" t="str"/>
      <x:c r="O28" s="17" t="str"/>
      <x:c r="P28" s="17" t="str"/>
      <x:c r="Q28" s="17" t="str"/>
      <x:c r="R28" s="17" t="str"/>
      <x:c r="S28" s="17" t="str"/>
      <x:c r="T28" s="19" t="str"/>
      <x:c r="U28" s="19" t="str"/>
      <x:c r="V28" s="17" t="str"/>
      <x:c r="W28" s="17" t="str"/>
      <x:c r="X28" s="18" t="str">
        <x:f>IF(COUNTA(L28:W28)=0,"",IF(AND(L28&lt;&gt;"",M28&lt;&gt;"",N28&lt;&gt;"",U28&lt;&gt;"",V28&lt;&gt;"",IF(H28="Ҳар ой",I28&lt;&gt;"",TRUE),IF(OR(L28="Қайтарилди",L28="Рад этилди",M28="Бажарилмади",M28="Муддати кечикди",N28&lt;&gt;"Етарли"),AND(Q28&lt;&gt;"",R28&lt;&gt;"",T28&lt;&gt;""),TRUE)),"Тайёр","Тўлдирилмаган"))</x:f>
        <x:v>Тўлдирилмаган</x:v>
      </x:c>
    </x:row>
    <x:row r="29">
      <x:c r="A29" s="9" t="str">
        <x:v>T-028</x:v>
      </x:c>
      <x:c r="B29" s="9" t="n">
        <x:v>44</x:v>
      </x:c>
      <x:c r="C29" s="9" t="str">
        <x:v>II. Инфляцияни прогнозлар даражасида таъминлаш ва асосий озиқ-овқат нархлари барқарорлигини сақлаш</x:v>
      </x:c>
      <x:c r="D29" s="9" t="str">
        <x:v>inflation</x:v>
      </x:c>
      <x:c r="E29" s="9" t="str">
        <x:v>Йил якунигача вилоятда 1000 бош наслли қорамол, 970 бош майда шохли қорамол хориждан олиб келиш.</x:v>
      </x:c>
      <x:c r="F29" s="9" t="str">
        <x:v>2026 йил якуни билан</x:v>
      </x:c>
      <x:c r="G29" s="9" t="str">
        <x:v>IV чорак / йил якуни</x:v>
      </x:c>
      <x:c r="H29" s="9" t="str">
        <x:v>Йил якуни</x:v>
      </x:c>
      <x:c r="I29" s="9" t="str"/>
      <x:c r="J29" s="9" t="str">
        <x:v>Вилоят</x:v>
      </x:c>
      <x:c r="K29" s="9" t="str">
        <x:v>Андижон вилояти ҳокимлиги</x:v>
      </x:c>
      <x:c r="L29" s="17" t="str"/>
      <x:c r="M29" s="17" t="str"/>
      <x:c r="N29" s="17" t="str"/>
      <x:c r="O29" s="17" t="str"/>
      <x:c r="P29" s="17" t="str"/>
      <x:c r="Q29" s="17" t="str"/>
      <x:c r="R29" s="17" t="str"/>
      <x:c r="S29" s="17" t="str"/>
      <x:c r="T29" s="19" t="str"/>
      <x:c r="U29" s="19" t="str"/>
      <x:c r="V29" s="17" t="str"/>
      <x:c r="W29" s="17" t="str"/>
      <x:c r="X29" s="18" t="str">
        <x:f>IF(COUNTA(L29:W29)=0,"",IF(AND(L29&lt;&gt;"",M29&lt;&gt;"",N29&lt;&gt;"",U29&lt;&gt;"",V29&lt;&gt;"",IF(H29="Ҳар ой",I29&lt;&gt;"",TRUE),IF(OR(L29="Қайтарилди",L29="Рад этилди",M29="Бажарилмади",M29="Муддати кечикди",N29&lt;&gt;"Етарли"),AND(Q29&lt;&gt;"",R29&lt;&gt;"",T29&lt;&gt;""),TRUE)),"Тайёр","Тўлдирилмаган"))</x:f>
        <x:v>Тўлдирилмаган</x:v>
      </x:c>
    </x:row>
    <x:row r="30">
      <x:c r="A30" s="9" t="str">
        <x:v>T-029</x:v>
      </x:c>
      <x:c r="B30" s="9" t="n">
        <x:v>45</x:v>
      </x:c>
      <x:c r="C30" s="9" t="str">
        <x:v>II. Инфляцияни прогнозлар даражасида таъминлаш ва асосий озиқ-овқат нархлари барқарорлигини сақлаш</x:v>
      </x:c>
      <x:c r="D30" s="9" t="str">
        <x:v>inflation</x:v>
      </x:c>
      <x:c r="E30" s="9" t="str">
        <x:v>Вилоятда озуқа базасини мустаҳкамлаш учун жорий йилда жами 36,9 минг гектарга, шундан 18,9 минг гектар асосий ер майдонларига ва 18 минг гектар ғалладан бўшаган ер майдонларига озуқабоп экинлар экиш.</x:v>
      </x:c>
      <x:c r="F30" s="9" t="str">
        <x:v>2026 йил якуни билан</x:v>
      </x:c>
      <x:c r="G30" s="9" t="str">
        <x:v>IV чорак / йил якуни</x:v>
      </x:c>
      <x:c r="H30" s="9" t="str">
        <x:v>Йил якуни</x:v>
      </x:c>
      <x:c r="I30" s="9" t="str"/>
      <x:c r="J30" s="9" t="str">
        <x:v>Вилоят</x:v>
      </x:c>
      <x:c r="K30" s="9" t="str">
        <x:v>Андижон вилояти ҳокимлиги</x:v>
      </x:c>
      <x:c r="L30" s="17" t="str"/>
      <x:c r="M30" s="17" t="str"/>
      <x:c r="N30" s="17" t="str"/>
      <x:c r="O30" s="17" t="str"/>
      <x:c r="P30" s="17" t="str"/>
      <x:c r="Q30" s="17" t="str"/>
      <x:c r="R30" s="17" t="str"/>
      <x:c r="S30" s="17" t="str"/>
      <x:c r="T30" s="19" t="str"/>
      <x:c r="U30" s="19" t="str"/>
      <x:c r="V30" s="17" t="str"/>
      <x:c r="W30" s="17" t="str"/>
      <x:c r="X30" s="18" t="str">
        <x:f>IF(COUNTA(L30:W30)=0,"",IF(AND(L30&lt;&gt;"",M30&lt;&gt;"",N30&lt;&gt;"",U30&lt;&gt;"",V30&lt;&gt;"",IF(H30="Ҳар ой",I30&lt;&gt;"",TRUE),IF(OR(L30="Қайтарилди",L30="Рад этилди",M30="Бажарилмади",M30="Муддати кечикди",N30&lt;&gt;"Етарли"),AND(Q30&lt;&gt;"",R30&lt;&gt;"",T30&lt;&gt;""),TRUE)),"Тайёр","Тўлдирилмаган"))</x:f>
        <x:v>Тўлдирилмаган</x:v>
      </x:c>
    </x:row>
    <x:row r="31">
      <x:c r="A31" s="9" t="str">
        <x:v>T-030</x:v>
      </x:c>
      <x:c r="B31" s="9" t="n">
        <x:v>46</x:v>
      </x:c>
      <x:c r="C31" s="9" t="str">
        <x:v>II. Инфляцияни прогнозлар даражасида таъминлаш ва асосий озиқ-овқат нархлари барқарорлигини сақлаш</x:v>
      </x:c>
      <x:c r="D31" s="9" t="str">
        <x:v>inflation</x:v>
      </x:c>
      <x:c r="E31" s="9" t="str">
        <x:v>Аҳолини асосий турдаги озиқ-овқат маҳсулотлари билан таъминлаш захира жамғармаси маблағлари маҳаллий бюджетларнинг орттириб бажарилган қисмидан 2026 йил якунигача 50 млрд сўмга етказиш.</x:v>
      </x:c>
      <x:c r="F31" s="9" t="str">
        <x:v>2026 йил якуни билан</x:v>
      </x:c>
      <x:c r="G31" s="9" t="str">
        <x:v>IV чорак / йил якуни</x:v>
      </x:c>
      <x:c r="H31" s="9" t="str">
        <x:v>Йил якуни</x:v>
      </x:c>
      <x:c r="I31" s="9" t="str"/>
      <x:c r="J31" s="9" t="str">
        <x:v>Вилоят</x:v>
      </x:c>
      <x:c r="K31" s="9" t="str">
        <x:v>Андижон вилояти ҳокимлиги</x:v>
      </x:c>
      <x:c r="L31" s="17" t="str"/>
      <x:c r="M31" s="17" t="str"/>
      <x:c r="N31" s="17" t="str"/>
      <x:c r="O31" s="17" t="str"/>
      <x:c r="P31" s="17" t="str"/>
      <x:c r="Q31" s="17" t="str"/>
      <x:c r="R31" s="17" t="str"/>
      <x:c r="S31" s="17" t="str"/>
      <x:c r="T31" s="19" t="str"/>
      <x:c r="U31" s="19" t="str"/>
      <x:c r="V31" s="17" t="str"/>
      <x:c r="W31" s="17" t="str"/>
      <x:c r="X31" s="18" t="str">
        <x:f>IF(COUNTA(L31:W31)=0,"",IF(AND(L31&lt;&gt;"",M31&lt;&gt;"",N31&lt;&gt;"",U31&lt;&gt;"",V31&lt;&gt;"",IF(H31="Ҳар ой",I31&lt;&gt;"",TRUE),IF(OR(L31="Қайтарилди",L31="Рад этилди",M31="Бажарилмади",M31="Муддати кечикди",N31&lt;&gt;"Етарли"),AND(Q31&lt;&gt;"",R31&lt;&gt;"",T31&lt;&gt;""),TRUE)),"Тайёр","Тўлдирилмаган"))</x:f>
        <x:v>Тўлдирилмаган</x:v>
      </x:c>
    </x:row>
    <x:row r="32">
      <x:c r="A32" s="9" t="str">
        <x:v>T-031</x:v>
      </x:c>
      <x:c r="B32" s="9" t="n">
        <x:v>47</x:v>
      </x:c>
      <x:c r="C32" s="9" t="str">
        <x:v>II. Инфляцияни прогнозлар даражасида таъминлаш ва асосий озиқ-овқат нархлари барқарорлигини сақлаш</x:v>
      </x:c>
      <x:c r="D32" s="9" t="str">
        <x:v>inflation</x:v>
      </x:c>
      <x:c r="E32" s="9" t="str">
        <x:v>Қурбон ҳайити арафасида аҳоли учун вилоятда жами 17 та арзонлаштирилган ярмаркалар ташкиллаштириш. Бунда, жами 850 тонна мол гўшти, 510 тонна қўй гўшти, 340 тонна парранда гўшти, 3 минг 700 тонна картошка, 5 минг 100 тонна сабзи, 5 минг 950 тонна пиёз, 850 тонна гуруч, 440 тонна ўсимлик ёғи, 30,6 тонна ун, 22 тонна шакар ва 27 млн. 300 минг дона товуқ тухуми билан таъминлаш.</x:v>
      </x:c>
      <x:c r="F32" s="9" t="str">
        <x:v>2026 йил май ойи</x:v>
      </x:c>
      <x:c r="G32" s="9" t="str">
        <x:v>II чорак / I ярим йиллик</x:v>
      </x:c>
      <x:c r="H32" s="9" t="str">
        <x:v>Ярим йиллик</x:v>
      </x:c>
      <x:c r="I32" s="9" t="str">
        <x:v>Май</x:v>
      </x:c>
      <x:c r="J32" s="9" t="str">
        <x:v>Вилоят</x:v>
      </x:c>
      <x:c r="K32" s="9" t="str">
        <x:v>Андижон вилояти ҳокимлиги</x:v>
      </x:c>
      <x:c r="L32" s="17" t="str"/>
      <x:c r="M32" s="17" t="str"/>
      <x:c r="N32" s="17" t="str"/>
      <x:c r="O32" s="17" t="str"/>
      <x:c r="P32" s="17" t="str"/>
      <x:c r="Q32" s="17" t="str"/>
      <x:c r="R32" s="17" t="str"/>
      <x:c r="S32" s="17" t="str"/>
      <x:c r="T32" s="19" t="str"/>
      <x:c r="U32" s="19" t="str"/>
      <x:c r="V32" s="17" t="str"/>
      <x:c r="W32" s="17" t="str"/>
      <x:c r="X32" s="18" t="str">
        <x:f>IF(COUNTA(L32:W32)=0,"",IF(AND(L32&lt;&gt;"",M32&lt;&gt;"",N32&lt;&gt;"",U32&lt;&gt;"",V32&lt;&gt;"",IF(H32="Ҳар ой",I32&lt;&gt;"",TRUE),IF(OR(L32="Қайтарилди",L32="Рад этилди",M32="Бажарилмади",M32="Муддати кечикди",N32&lt;&gt;"Етарли"),AND(Q32&lt;&gt;"",R32&lt;&gt;"",T32&lt;&gt;""),TRUE)),"Тайёр","Тўлдирилмаган"))</x:f>
        <x:v>Тўлдирилмаган</x:v>
      </x:c>
    </x:row>
    <x:row r="33">
      <x:c r="A33" s="9" t="str">
        <x:v>T-032</x:v>
      </x:c>
      <x:c r="B33" s="9" t="n">
        <x:v>49</x:v>
      </x:c>
      <x:c r="C33" s="9" t="str">
        <x:v>III. Бюджет тушумлари прогнозини таъминлаш</x:v>
      </x:c>
      <x:c r="D33" s="9" t="str">
        <x:v>budget</x:v>
      </x:c>
      <x:c r="E33" s="9" t="str">
        <x:v>Яширин иқтисодиётга қарши курашиш, солиқ тўловчилар иқтисодий фаоллигини ошириш ҳамда солиқ қарздорликларини ундириш ҳисобига қўшимча 117,4 млрд сўм даромад ундириш топшириғини тўлиқ таъминлаш. Бунда, биринчи ярим йилликда: – қурилиш соҳасида яширин иқтисодиётни улушини қисқартириш ҳисобига 22 млрд сўм; – саноат соҳасида солиқ маъмурчилигини яхшилаш ва яширин айланмаларни қисқартириш ҳисобига 36 млрд сўм; – савдо соҳасида айланмаларни тўлиқ расмийлаштириш орқали солиқ базасини соядан чиқариш ҳисобига 20 млрд сўм; – хизмат кўрсатиш соҳасида солиқ маъмурчилигини яхшилаш ва яширин айланмаларни қисқартириш ҳисобига 17 млрд сўм; – транспорт хизматлари ҳажмини тўлиқ ҳисобга олиш ва тўловларни расмийлаштириш, норасмий ишловчиларни легаллаштириш ҳамда бошқа йўналишлар ҳисобига 22 млрд сўм қўшимча тушум таъминлаш. Натижада, жорий йил бюджет даромадлари прогнози 1-ярим йилликда 2 599 млрд сўмга (режага нисбатан 7,9%, 2025 йил 1-ярмига нисбатан ўсиш – 19,1%) бажарилади ва бюджетга қўшимча 191 млрд сўм ундирилади, 2026 йил якунига қадар йиллик прогноз 5 889 млрд сўмга бажарилиши (режа 11,1 %га, 2025 йилга нисбатан ўсиш 18,4%) ва бюджетга қўшимча 590 млрд сўм тушум тушишини таъминлаш.</x:v>
      </x:c>
      <x:c r="F33" s="9" t="str">
        <x:v>2026 йил I ярим йиллик</x:v>
      </x:c>
      <x:c r="G33" s="9" t="str">
        <x:v>II чорак / I ярим йиллик</x:v>
      </x:c>
      <x:c r="H33" s="9" t="str">
        <x:v>Ярим йиллик</x:v>
      </x:c>
      <x:c r="I33" s="9" t="str"/>
      <x:c r="J33" s="9" t="str">
        <x:v>Вилоят</x:v>
      </x:c>
      <x:c r="K33" s="9" t="str">
        <x:v>Андижон вилояти ҳокимлиги</x:v>
      </x:c>
      <x:c r="L33" s="17" t="str"/>
      <x:c r="M33" s="17" t="str"/>
      <x:c r="N33" s="17" t="str"/>
      <x:c r="O33" s="17" t="str"/>
      <x:c r="P33" s="17" t="str"/>
      <x:c r="Q33" s="17" t="str"/>
      <x:c r="R33" s="17" t="str"/>
      <x:c r="S33" s="17" t="str"/>
      <x:c r="T33" s="19" t="str"/>
      <x:c r="U33" s="19" t="str"/>
      <x:c r="V33" s="17" t="str"/>
      <x:c r="W33" s="17" t="str"/>
      <x:c r="X33" s="18" t="str">
        <x:f>IF(COUNTA(L33:W33)=0,"",IF(AND(L33&lt;&gt;"",M33&lt;&gt;"",N33&lt;&gt;"",U33&lt;&gt;"",V33&lt;&gt;"",IF(H33="Ҳар ой",I33&lt;&gt;"",TRUE),IF(OR(L33="Қайтарилди",L33="Рад этилди",M33="Бажарилмади",M33="Муддати кечикди",N33&lt;&gt;"Етарли"),AND(Q33&lt;&gt;"",R33&lt;&gt;"",T33&lt;&gt;""),TRUE)),"Тайёр","Тўлдирилмаган"))</x:f>
        <x:v>Тўлдирилмаган</x:v>
      </x:c>
    </x:row>
    <x:row r="34">
      <x:c r="A34" s="9" t="str">
        <x:v>T-033</x:v>
      </x:c>
      <x:c r="B34" s="9" t="n">
        <x:v>51</x:v>
      </x:c>
      <x:c r="C34" s="9" t="str">
        <x:v>IV. Инвестицияларни ўзлаштириш</x:v>
      </x:c>
      <x:c r="D34" s="9" t="str">
        <x:v>budget_investment</x:v>
      </x:c>
      <x:c r="E34" s="9" t="str">
        <x:v>Вилоят ҳокимлиги буюртмачилигида – I ярим йилликда 230 млрд сўм (йиллик лимитга нисбатан – 46,8 %) бюджет маблағлари ўзлаштириш.</x:v>
      </x:c>
      <x:c r="F34" s="9" t="str">
        <x:v>2026 йил I ярим йиллик</x:v>
      </x:c>
      <x:c r="G34" s="9" t="str">
        <x:v>II чорак / I ярим йиллик</x:v>
      </x:c>
      <x:c r="H34" s="9" t="str">
        <x:v>Ярим йиллик</x:v>
      </x:c>
      <x:c r="I34" s="9" t="str"/>
      <x:c r="J34" s="9" t="str">
        <x:v>Вилоят</x:v>
      </x:c>
      <x:c r="K34" s="9" t="str">
        <x:v>Андижон вилояти ҳокимлиги</x:v>
      </x:c>
      <x:c r="L34" s="17" t="str"/>
      <x:c r="M34" s="17" t="str"/>
      <x:c r="N34" s="17" t="str"/>
      <x:c r="O34" s="17" t="str"/>
      <x:c r="P34" s="17" t="str"/>
      <x:c r="Q34" s="17" t="str"/>
      <x:c r="R34" s="17" t="str"/>
      <x:c r="S34" s="17" t="str"/>
      <x:c r="T34" s="19" t="str"/>
      <x:c r="U34" s="19" t="str"/>
      <x:c r="V34" s="17" t="str"/>
      <x:c r="W34" s="17" t="str"/>
      <x:c r="X34" s="18" t="str">
        <x:f>IF(COUNTA(L34:W34)=0,"",IF(AND(L34&lt;&gt;"",M34&lt;&gt;"",N34&lt;&gt;"",U34&lt;&gt;"",V34&lt;&gt;"",IF(H34="Ҳар ой",I34&lt;&gt;"",TRUE),IF(OR(L34="Қайтарилди",L34="Рад этилди",M34="Бажарилмади",M34="Муддати кечикди",N34&lt;&gt;"Етарли"),AND(Q34&lt;&gt;"",R34&lt;&gt;"",T34&lt;&gt;""),TRUE)),"Тайёр","Тўлдирилмаган"))</x:f>
        <x:v>Тўлдирилмаган</x:v>
      </x:c>
    </x:row>
    <x:row r="35">
      <x:c r="A35" s="9" t="str">
        <x:v>T-034</x:v>
      </x:c>
      <x:c r="B35" s="9" t="n">
        <x:v>53</x:v>
      </x:c>
      <x:c r="C35" s="9" t="str">
        <x:v>IV. Инвестицияларни ўзлаштириш</x:v>
      </x:c>
      <x:c r="D35" s="9" t="str">
        <x:v>budget_investment</x:v>
      </x:c>
      <x:c r="E35" s="9" t="str">
        <x:v>Вилоят ҳокимлиги буюртмачилигида 513 млрд сўм бюджет маблағлари ўзлаштириш.</x:v>
      </x:c>
      <x:c r="F35" s="9" t="str">
        <x:v>2026 йил якуни билан</x:v>
      </x:c>
      <x:c r="G35" s="9" t="str">
        <x:v>IV чорак / йил якуни</x:v>
      </x:c>
      <x:c r="H35" s="9" t="str">
        <x:v>Йил якуни</x:v>
      </x:c>
      <x:c r="I35" s="9" t="str"/>
      <x:c r="J35" s="9" t="str">
        <x:v>Вилоят</x:v>
      </x:c>
      <x:c r="K35" s="9" t="str">
        <x:v>Андижон вилояти ҳокимлиги</x:v>
      </x:c>
      <x:c r="L35" s="17" t="str"/>
      <x:c r="M35" s="17" t="str"/>
      <x:c r="N35" s="17" t="str"/>
      <x:c r="O35" s="17" t="str"/>
      <x:c r="P35" s="17" t="str"/>
      <x:c r="Q35" s="17" t="str"/>
      <x:c r="R35" s="17" t="str"/>
      <x:c r="S35" s="17" t="str"/>
      <x:c r="T35" s="19" t="str"/>
      <x:c r="U35" s="19" t="str"/>
      <x:c r="V35" s="17" t="str"/>
      <x:c r="W35" s="17" t="str"/>
      <x:c r="X35" s="18" t="str">
        <x:f>IF(COUNTA(L35:W35)=0,"",IF(AND(L35&lt;&gt;"",M35&lt;&gt;"",N35&lt;&gt;"",U35&lt;&gt;"",V35&lt;&gt;"",IF(H35="Ҳар ой",I35&lt;&gt;"",TRUE),IF(OR(L35="Қайтарилди",L35="Рад этилди",M35="Бажарилмади",M35="Муддати кечикди",N35&lt;&gt;"Етарли"),AND(Q35&lt;&gt;"",R35&lt;&gt;"",T35&lt;&gt;""),TRUE)),"Тайёр","Тўлдирилмаган"))</x:f>
        <x:v>Тўлдирилмаган</x:v>
      </x:c>
    </x:row>
    <x:row r="36">
      <x:c r="A36" s="9" t="str">
        <x:v>T-035</x:v>
      </x:c>
      <x:c r="B36" s="9" t="n">
        <x:v>54</x:v>
      </x:c>
      <x:c r="C36" s="9" t="str">
        <x:v>IV. Инвестицияларни ўзлаштириш</x:v>
      </x:c>
      <x:c r="D36" s="9" t="str">
        <x:v>budget_investment</x:v>
      </x:c>
      <x:c r="E36" s="9" t="str">
        <x:v>Жорий йилнинг I чорагида молиялаштириш очилмаган 16 та объект бўйича 1 ҳафта муддатда лойиҳа ҳужжатларини ишлаб чиқиш, экспертизадан ўтказиш ва пудрат ташкилотини аниқлаш ҳамда қурилиш-таъмирлаш ишларини амалга ошириш таъминлаш. Шундан, вилоят ҳокимлиги буюртмачилигида – 10 та объект.</x:v>
      </x:c>
      <x:c r="F36" s="9" t="str">
        <x:v>2026 йил I ярим йиллик</x:v>
      </x:c>
      <x:c r="G36" s="9" t="str">
        <x:v>II чорак / I ярим йиллик</x:v>
      </x:c>
      <x:c r="H36" s="9" t="str">
        <x:v>Ярим йиллик</x:v>
      </x:c>
      <x:c r="I36" s="9" t="str"/>
      <x:c r="J36" s="9" t="str">
        <x:v>Вилоят</x:v>
      </x:c>
      <x:c r="K36" s="9" t="str">
        <x:v>Андижон вилояти ҳокимлиги</x:v>
      </x:c>
      <x:c r="L36" s="17" t="str"/>
      <x:c r="M36" s="17" t="str"/>
      <x:c r="N36" s="17" t="str"/>
      <x:c r="O36" s="17" t="str"/>
      <x:c r="P36" s="17" t="str"/>
      <x:c r="Q36" s="17" t="str"/>
      <x:c r="R36" s="17" t="str"/>
      <x:c r="S36" s="17" t="str"/>
      <x:c r="T36" s="19" t="str"/>
      <x:c r="U36" s="19" t="str"/>
      <x:c r="V36" s="17" t="str"/>
      <x:c r="W36" s="17" t="str"/>
      <x:c r="X36" s="18" t="str">
        <x:f>IF(COUNTA(L36:W36)=0,"",IF(AND(L36&lt;&gt;"",M36&lt;&gt;"",N36&lt;&gt;"",U36&lt;&gt;"",V36&lt;&gt;"",IF(H36="Ҳар ой",I36&lt;&gt;"",TRUE),IF(OR(L36="Қайтарилди",L36="Рад этилди",M36="Бажарилмади",M36="Муддати кечикди",N36&lt;&gt;"Етарли"),AND(Q36&lt;&gt;"",R36&lt;&gt;"",T36&lt;&gt;""),TRUE)),"Тайёр","Тўлдирилмаган"))</x:f>
        <x:v>Тўлдирилмаган</x:v>
      </x:c>
    </x:row>
    <x:row r="37">
      <x:c r="A37" s="9" t="str">
        <x:v>T-036</x:v>
      </x:c>
      <x:c r="B37" s="9" t="n">
        <x:v>55</x:v>
      </x:c>
      <x:c r="C37" s="9" t="str">
        <x:v>IV. Инвестицияларни ўзлаштириш</x:v>
      </x:c>
      <x:c r="D37" s="9" t="str">
        <x:v>budget_investment</x:v>
      </x:c>
      <x:c r="E37" s="9" t="str">
        <x:v>Йил якуни билан жами 96 та объект фойдаланишга топшириш. Шундан, вилоят ҳокимлиги буюртмачилигида – 60 та. Натижада 11 224 та янги ўқув ўрни, 1 730 та ўринли боғча, 255 та ўринли ва 400 та қатновли тиббиёт муассасаси, 47,4 км ичимлик ва оқава сув тармоғи, 10,6 км иссиқлик тармоғи, 10 км автомобиль йўллари, 41,7 км каналлар, 4,5 км коллектор қувватларини ишга тушириш.</x:v>
      </x:c>
      <x:c r="F37" s="9" t="str">
        <x:v>2026 йил якуни билан</x:v>
      </x:c>
      <x:c r="G37" s="9" t="str">
        <x:v>IV чорак / йил якуни</x:v>
      </x:c>
      <x:c r="H37" s="9" t="str">
        <x:v>Йил якуни</x:v>
      </x:c>
      <x:c r="I37" s="9" t="str"/>
      <x:c r="J37" s="9" t="str">
        <x:v>Вилоят</x:v>
      </x:c>
      <x:c r="K37" s="9" t="str">
        <x:v>Андижон вилояти ҳокимлиги</x:v>
      </x:c>
      <x:c r="L37" s="17" t="str"/>
      <x:c r="M37" s="17" t="str"/>
      <x:c r="N37" s="17" t="str"/>
      <x:c r="O37" s="17" t="str"/>
      <x:c r="P37" s="17" t="str"/>
      <x:c r="Q37" s="17" t="str"/>
      <x:c r="R37" s="17" t="str"/>
      <x:c r="S37" s="17" t="str"/>
      <x:c r="T37" s="19" t="str"/>
      <x:c r="U37" s="19" t="str"/>
      <x:c r="V37" s="17" t="str"/>
      <x:c r="W37" s="17" t="str"/>
      <x:c r="X37" s="18" t="str">
        <x:f>IF(COUNTA(L37:W37)=0,"",IF(AND(L37&lt;&gt;"",M37&lt;&gt;"",N37&lt;&gt;"",U37&lt;&gt;"",V37&lt;&gt;"",IF(H37="Ҳар ой",I37&lt;&gt;"",TRUE),IF(OR(L37="Қайтарилди",L37="Рад этилди",M37="Бажарилмади",M37="Муддати кечикди",N37&lt;&gt;"Етарли"),AND(Q37&lt;&gt;"",R37&lt;&gt;"",T37&lt;&gt;""),TRUE)),"Тайёр","Тўлдирилмаган"))</x:f>
        <x:v>Тўлдирилмаган</x:v>
      </x:c>
    </x:row>
    <x:row r="38">
      <x:c r="A38" s="9" t="str">
        <x:v>T-037</x:v>
      </x:c>
      <x:c r="B38" s="9" t="n">
        <x:v>58</x:v>
      </x:c>
      <x:c r="C38" s="9" t="str">
        <x:v>V.Хорижий инвестицияларни жалб қилиш</x:v>
      </x:c>
      <x:c r="D38" s="9" t="str">
        <x:v>investment</x:v>
      </x:c>
      <x:c r="E38" s="9" t="str">
        <x:v>398 млн долларлик 155 та лойиҳалар ишга туширилиши таъминлаш.</x:v>
      </x:c>
      <x:c r="F38" s="9" t="str">
        <x:v>2026 йил I ярим йиллик</x:v>
      </x:c>
      <x:c r="G38" s="9" t="str">
        <x:v>II чорак / I ярим йиллик</x:v>
      </x:c>
      <x:c r="H38" s="9" t="str">
        <x:v>Ярим йиллик</x:v>
      </x:c>
      <x:c r="I38" s="9" t="str"/>
      <x:c r="J38" s="9" t="str">
        <x:v>Вилоят</x:v>
      </x:c>
      <x:c r="K38" s="9" t="str">
        <x:v>Андижон вилояти ҳокимлиги</x:v>
      </x:c>
      <x:c r="L38" s="17" t="str"/>
      <x:c r="M38" s="17" t="str"/>
      <x:c r="N38" s="17" t="str"/>
      <x:c r="O38" s="17" t="str"/>
      <x:c r="P38" s="17" t="str"/>
      <x:c r="Q38" s="17" t="str"/>
      <x:c r="R38" s="17" t="str"/>
      <x:c r="S38" s="17" t="str"/>
      <x:c r="T38" s="19" t="str"/>
      <x:c r="U38" s="19" t="str"/>
      <x:c r="V38" s="17" t="str"/>
      <x:c r="W38" s="17" t="str"/>
      <x:c r="X38" s="18" t="str">
        <x:f>IF(COUNTA(L38:W38)=0,"",IF(AND(L38&lt;&gt;"",M38&lt;&gt;"",N38&lt;&gt;"",U38&lt;&gt;"",V38&lt;&gt;"",IF(H38="Ҳар ой",I38&lt;&gt;"",TRUE),IF(OR(L38="Қайтарилди",L38="Рад этилди",M38="Бажарилмади",M38="Муддати кечикди",N38&lt;&gt;"Етарли"),AND(Q38&lt;&gt;"",R38&lt;&gt;"",T38&lt;&gt;""),TRUE)),"Тайёр","Тўлдирилмаган"))</x:f>
        <x:v>Тўлдирилмаган</x:v>
      </x:c>
    </x:row>
    <x:row r="39">
      <x:c r="A39" s="9" t="str">
        <x:v>T-038</x:v>
      </x:c>
      <x:c r="B39" s="9" t="n">
        <x:v>59</x:v>
      </x:c>
      <x:c r="C39" s="9" t="str">
        <x:v>V.Хорижий инвестицияларни жалб қилиш</x:v>
      </x:c>
      <x:c r="D39" s="9" t="str">
        <x:v>investment</x:v>
      </x:c>
      <x:c r="E39" s="9" t="str">
        <x:v>1 335 млн долларлик 307 та лойиҳаларни ишга туширилиши таъминлаш. Натижада, йил якуни билан 30,9 минг та иш ўринлари яратиш.</x:v>
      </x:c>
      <x:c r="F39" s="9" t="str">
        <x:v>2026 йил якуни билан</x:v>
      </x:c>
      <x:c r="G39" s="9" t="str">
        <x:v>IV чорак / йил якуни</x:v>
      </x:c>
      <x:c r="H39" s="9" t="str">
        <x:v>Йил якуни</x:v>
      </x:c>
      <x:c r="I39" s="9" t="str"/>
      <x:c r="J39" s="9" t="str">
        <x:v>Вилоят</x:v>
      </x:c>
      <x:c r="K39" s="9" t="str">
        <x:v>Андижон вилояти ҳокимлиги</x:v>
      </x:c>
      <x:c r="L39" s="17" t="str"/>
      <x:c r="M39" s="17" t="str"/>
      <x:c r="N39" s="17" t="str"/>
      <x:c r="O39" s="17" t="str"/>
      <x:c r="P39" s="17" t="str"/>
      <x:c r="Q39" s="17" t="str"/>
      <x:c r="R39" s="17" t="str"/>
      <x:c r="S39" s="17" t="str"/>
      <x:c r="T39" s="19" t="str"/>
      <x:c r="U39" s="19" t="str"/>
      <x:c r="V39" s="17" t="str"/>
      <x:c r="W39" s="17" t="str"/>
      <x:c r="X39" s="18" t="str">
        <x:f>IF(COUNTA(L39:W39)=0,"",IF(AND(L39&lt;&gt;"",M39&lt;&gt;"",N39&lt;&gt;"",U39&lt;&gt;"",V39&lt;&gt;"",IF(H39="Ҳар ой",I39&lt;&gt;"",TRUE),IF(OR(L39="Қайтарилди",L39="Рад этилди",M39="Бажарилмади",M39="Муддати кечикди",N39&lt;&gt;"Етарли"),AND(Q39&lt;&gt;"",R39&lt;&gt;"",T39&lt;&gt;""),TRUE)),"Тайёр","Тўлдирилмаган"))</x:f>
        <x:v>Тўлдирилмаган</x:v>
      </x:c>
    </x:row>
    <x:row r="40">
      <x:c r="A40" s="9" t="str">
        <x:v>T-039</x:v>
      </x:c>
      <x:c r="B40" s="9" t="n">
        <x:v>62</x:v>
      </x:c>
      <x:c r="C40" s="9" t="str">
        <x:v>VI. Экспорт</x:v>
      </x:c>
      <x:c r="D40" s="9" t="str">
        <x:v>export</x:v>
      </x:c>
      <x:c r="E40" s="9" t="str">
        <x:v>I чоракда экспорт ҳажмлари камайган 46 та ва экспорти тўхтаган 11 та корхоналар бирма-бир ўрганилиб, тегишли чоралар кўриш.</x:v>
      </x:c>
      <x:c r="F40" s="9" t="str">
        <x:v>2026 йил I ярим йиллик</x:v>
      </x:c>
      <x:c r="G40" s="9" t="str">
        <x:v>II чорак / I ярим йиллик</x:v>
      </x:c>
      <x:c r="H40" s="9" t="str">
        <x:v>Ярим йиллик</x:v>
      </x:c>
      <x:c r="I40" s="9" t="str"/>
      <x:c r="J40" s="9" t="str">
        <x:v>Вилоят</x:v>
      </x:c>
      <x:c r="K40" s="9" t="str">
        <x:v>Андижон вилояти ҳокимлиги</x:v>
      </x:c>
      <x:c r="L40" s="17" t="str"/>
      <x:c r="M40" s="17" t="str"/>
      <x:c r="N40" s="17" t="str"/>
      <x:c r="O40" s="17" t="str"/>
      <x:c r="P40" s="17" t="str"/>
      <x:c r="Q40" s="17" t="str"/>
      <x:c r="R40" s="17" t="str"/>
      <x:c r="S40" s="17" t="str"/>
      <x:c r="T40" s="19" t="str"/>
      <x:c r="U40" s="19" t="str"/>
      <x:c r="V40" s="17" t="str"/>
      <x:c r="W40" s="17" t="str"/>
      <x:c r="X40" s="18" t="str">
        <x:f>IF(COUNTA(L40:W40)=0,"",IF(AND(L40&lt;&gt;"",M40&lt;&gt;"",N40&lt;&gt;"",U40&lt;&gt;"",V40&lt;&gt;"",IF(H40="Ҳар ой",I40&lt;&gt;"",TRUE),IF(OR(L40="Қайтарилди",L40="Рад этилди",M40="Бажарилмади",M40="Муддати кечикди",N40&lt;&gt;"Етарли"),AND(Q40&lt;&gt;"",R40&lt;&gt;"",T40&lt;&gt;""),TRUE)),"Тайёр","Тўлдирилмаган"))</x:f>
        <x:v>Тўлдирилмаган</x:v>
      </x:c>
    </x:row>
    <x:row r="41">
      <x:c r="A41" s="9" t="str">
        <x:v>T-040</x:v>
      </x:c>
      <x:c r="B41" s="9" t="n">
        <x:v>63</x:v>
      </x:c>
      <x:c r="C41" s="9" t="str">
        <x:v>VI. Экспорт</x:v>
      </x:c>
      <x:c r="D41" s="9" t="str">
        <x:v>export</x:v>
      </x:c>
      <x:c r="E41" s="9" t="str">
        <x:v>85 та корхоналар экспортга жалб қилиниб, вилоят экспортчилар сони 400 тага етказиш.</x:v>
      </x:c>
      <x:c r="F41" s="9" t="str">
        <x:v>2026 йил якуни билан</x:v>
      </x:c>
      <x:c r="G41" s="9" t="str">
        <x:v>IV чорак / йил якуни</x:v>
      </x:c>
      <x:c r="H41" s="9" t="str">
        <x:v>Йил якуни</x:v>
      </x:c>
      <x:c r="I41" s="9" t="str"/>
      <x:c r="J41" s="9" t="str">
        <x:v>Вилоят</x:v>
      </x:c>
      <x:c r="K41" s="9" t="str">
        <x:v>Андижон вилояти ҳокимлиги</x:v>
      </x:c>
      <x:c r="L41" s="17" t="str"/>
      <x:c r="M41" s="17" t="str"/>
      <x:c r="N41" s="17" t="str"/>
      <x:c r="O41" s="17" t="str"/>
      <x:c r="P41" s="17" t="str"/>
      <x:c r="Q41" s="17" t="str"/>
      <x:c r="R41" s="17" t="str"/>
      <x:c r="S41" s="17" t="str"/>
      <x:c r="T41" s="19" t="str"/>
      <x:c r="U41" s="19" t="str"/>
      <x:c r="V41" s="17" t="str"/>
      <x:c r="W41" s="17" t="str"/>
      <x:c r="X41" s="18" t="str">
        <x:f>IF(COUNTA(L41:W41)=0,"",IF(AND(L41&lt;&gt;"",M41&lt;&gt;"",N41&lt;&gt;"",U41&lt;&gt;"",V41&lt;&gt;"",IF(H41="Ҳар ой",I41&lt;&gt;"",TRUE),IF(OR(L41="Қайтарилди",L41="Рад этилди",M41="Бажарилмади",M41="Муддати кечикди",N41&lt;&gt;"Етарли"),AND(Q41&lt;&gt;"",R41&lt;&gt;"",T41&lt;&gt;""),TRUE)),"Тайёр","Тўлдирилмаган"))</x:f>
        <x:v>Тўлдирилмаган</x:v>
      </x:c>
    </x:row>
    <x:row r="42">
      <x:c r="A42" s="9" t="str">
        <x:v>T-041</x:v>
      </x:c>
      <x:c r="B42" s="9" t="n">
        <x:v>64</x:v>
      </x:c>
      <x:c r="C42" s="9" t="str">
        <x:v>VI. Экспорт</x:v>
      </x:c>
      <x:c r="D42" s="9" t="str">
        <x:v>export</x:v>
      </x:c>
      <x:c r="E42" s="9" t="str">
        <x:v>Экспорт географияси кенгайтирилиб, асосий ҳамкор давлатларга боғлиқликни олдини олиш чораларини кўриш. Бунда: а) хорижий давлатларда (Германия, Афғонистон, Польша, Хитой) ўтказиладиган 4та халқаро кўргазмаларга 90 та корхонани жалб қилиб, 100 млн доллар ва 30 та корхона иштирокида бизнес-миссиялар ташкил этиш орқали 50 млн долларлик экспорт келишувларига эришиш. б) 3 та янги бозорлар, хусусан, Канада, Буюк Британия ҳамда Озарбайжон давлатларига экспортни йўлга қўйиш бўйича тизимли иш ташкил қилиш.</x:v>
      </x:c>
      <x:c r="F42" s="9" t="str">
        <x:v>2026 йил якуни билан</x:v>
      </x:c>
      <x:c r="G42" s="9" t="str">
        <x:v>IV чорак / йил якуни</x:v>
      </x:c>
      <x:c r="H42" s="9" t="str">
        <x:v>Йил якуни</x:v>
      </x:c>
      <x:c r="I42" s="9" t="str"/>
      <x:c r="J42" s="9" t="str">
        <x:v>Вилоят</x:v>
      </x:c>
      <x:c r="K42" s="9" t="str">
        <x:v>Андижон вилояти ҳокимлиги</x:v>
      </x:c>
      <x:c r="L42" s="17" t="str"/>
      <x:c r="M42" s="17" t="str"/>
      <x:c r="N42" s="17" t="str"/>
      <x:c r="O42" s="17" t="str"/>
      <x:c r="P42" s="17" t="str"/>
      <x:c r="Q42" s="17" t="str"/>
      <x:c r="R42" s="17" t="str"/>
      <x:c r="S42" s="17" t="str"/>
      <x:c r="T42" s="19" t="str"/>
      <x:c r="U42" s="19" t="str"/>
      <x:c r="V42" s="17" t="str"/>
      <x:c r="W42" s="17" t="str"/>
      <x:c r="X42" s="18" t="str">
        <x:f>IF(COUNTA(L42:W42)=0,"",IF(AND(L42&lt;&gt;"",M42&lt;&gt;"",N42&lt;&gt;"",U42&lt;&gt;"",V42&lt;&gt;"",IF(H42="Ҳар ой",I42&lt;&gt;"",TRUE),IF(OR(L42="Қайтарилди",L42="Рад этилди",M42="Бажарилмади",M42="Муддати кечикди",N42&lt;&gt;"Етарли"),AND(Q42&lt;&gt;"",R42&lt;&gt;"",T42&lt;&gt;""),TRUE)),"Тайёр","Тўлдирилмаган"))</x:f>
        <x:v>Тўлдирилмаган</x:v>
      </x:c>
    </x:row>
    <x:row r="43">
      <x:c r="A43" s="9" t="str">
        <x:v>T-042</x:v>
      </x:c>
      <x:c r="B43" s="9" t="n">
        <x:v>65</x:v>
      </x:c>
      <x:c r="C43" s="9" t="str">
        <x:v>VI. Экспорт</x:v>
      </x:c>
      <x:c r="D43" s="9" t="str">
        <x:v>export</x:v>
      </x:c>
      <x:c r="E43" s="9" t="str">
        <x:v>Вилоятдаги 57 та экспортчилар билан манзилли ишлаб уларга молиявий ва ташкилий-ҳуқуқий кўмак кўрсатиш. Бунда, экспорт штаби фаолияти вилоят ҳокими томонидан шахсан назоратга олинган ҳолда тадбиркорлар учун экспортда яратилган имкониятлар тўғрисида кенг тарғибот олиб борилади ва экспортга тўсқинлик қилаётган муаммоларни тезкор ҳал этилиши кунлик назорат қилинади.</x:v>
      </x:c>
      <x:c r="F43" s="9" t="str">
        <x:v>2026 йил якуни билан</x:v>
      </x:c>
      <x:c r="G43" s="9" t="str">
        <x:v>IV чорак / йил якуни</x:v>
      </x:c>
      <x:c r="H43" s="9" t="str">
        <x:v>Йил якуни</x:v>
      </x:c>
      <x:c r="I43" s="9" t="str"/>
      <x:c r="J43" s="9" t="str">
        <x:v>Вилоят</x:v>
      </x:c>
      <x:c r="K43" s="9" t="str">
        <x:v>Андижон вилояти ҳокимлиги</x:v>
      </x:c>
      <x:c r="L43" s="17" t="str"/>
      <x:c r="M43" s="17" t="str"/>
      <x:c r="N43" s="17" t="str"/>
      <x:c r="O43" s="17" t="str"/>
      <x:c r="P43" s="17" t="str"/>
      <x:c r="Q43" s="17" t="str"/>
      <x:c r="R43" s="17" t="str"/>
      <x:c r="S43" s="17" t="str"/>
      <x:c r="T43" s="19" t="str"/>
      <x:c r="U43" s="19" t="str"/>
      <x:c r="V43" s="17" t="str"/>
      <x:c r="W43" s="17" t="str"/>
      <x:c r="X43" s="18" t="str">
        <x:f>IF(COUNTA(L43:W43)=0,"",IF(AND(L43&lt;&gt;"",M43&lt;&gt;"",N43&lt;&gt;"",U43&lt;&gt;"",V43&lt;&gt;"",IF(H43="Ҳар ой",I43&lt;&gt;"",TRUE),IF(OR(L43="Қайтарилди",L43="Рад этилди",M43="Бажарилмади",M43="Муддати кечикди",N43&lt;&gt;"Етарли"),AND(Q43&lt;&gt;"",R43&lt;&gt;"",T43&lt;&gt;""),TRUE)),"Тайёр","Тўлдирилмаган"))</x:f>
        <x:v>Тўлдирилмаган</x:v>
      </x:c>
    </x:row>
    <x:row r="44">
      <x:c r="A44" s="9" t="str">
        <x:v>T-043</x:v>
      </x:c>
      <x:c r="B44" s="9" t="n">
        <x:v>67</x:v>
      </x:c>
      <x:c r="C44" s="9" t="str">
        <x:v>7.1. Ишсизликни қисқартириш йўналишида</x:v>
      </x:c>
      <x:c r="D44" s="9" t="str">
        <x:v>unemployment</x:v>
      </x:c>
      <x:c r="E44" s="9" t="str">
        <x:v>Ишсизлик даражаси камайтириш мақсадида: 38,9 минг аҳолини доимий ишга жойлаштириш; 148,5 минг нафар фуқаро даромадларини оширишга қаратилган хизматлар билан қамраб олиш; 29,9 минг норасмий бандлар фаолияти легаллаштириш. Бунда тадбиркорларни молиявий қўллаб-қувватлаш орқали 13 минг 329 та аҳолининг даромади оширилади. Жумладан, маҳалла ихтисослашувини чуқурлаштиришга қаратилган 3 мингта 834 та микролойиҳа ишга тушириш.</x:v>
      </x:c>
      <x:c r="F44" s="9" t="str">
        <x:v>2026 йил I ярим йиллик</x:v>
      </x:c>
      <x:c r="G44" s="9" t="str">
        <x:v>II чорак / I ярим йиллик</x:v>
      </x:c>
      <x:c r="H44" s="9" t="str">
        <x:v>Ярим йиллик</x:v>
      </x:c>
      <x:c r="I44" s="9" t="str"/>
      <x:c r="J44" s="9" t="str">
        <x:v>Вилоят</x:v>
      </x:c>
      <x:c r="K44" s="9" t="str">
        <x:v>Андижон вилояти ҳокимлиги</x:v>
      </x:c>
      <x:c r="L44" s="17" t="str"/>
      <x:c r="M44" s="17" t="str"/>
      <x:c r="N44" s="17" t="str"/>
      <x:c r="O44" s="17" t="str"/>
      <x:c r="P44" s="17" t="str"/>
      <x:c r="Q44" s="17" t="str"/>
      <x:c r="R44" s="17" t="str"/>
      <x:c r="S44" s="17" t="str"/>
      <x:c r="T44" s="19" t="str"/>
      <x:c r="U44" s="19" t="str"/>
      <x:c r="V44" s="17" t="str"/>
      <x:c r="W44" s="17" t="str"/>
      <x:c r="X44" s="18" t="str">
        <x:f>IF(COUNTA(L44:W44)=0,"",IF(AND(L44&lt;&gt;"",M44&lt;&gt;"",N44&lt;&gt;"",U44&lt;&gt;"",V44&lt;&gt;"",IF(H44="Ҳар ой",I44&lt;&gt;"",TRUE),IF(OR(L44="Қайтарилди",L44="Рад этилди",M44="Бажарилмади",M44="Муддати кечикди",N44&lt;&gt;"Етарли"),AND(Q44&lt;&gt;"",R44&lt;&gt;"",T44&lt;&gt;""),TRUE)),"Тайёр","Тўлдирилмаган"))</x:f>
        <x:v>Тўлдирилмаган</x:v>
      </x:c>
    </x:row>
    <x:row r="45">
      <x:c r="A45" s="9" t="str">
        <x:v>T-044</x:v>
      </x:c>
      <x:c r="B45" s="9" t="n">
        <x:v>69</x:v>
      </x:c>
      <x:c r="C45" s="9" t="str">
        <x:v>7.1. Ишсизликни қисқартириш йўналишида</x:v>
      </x:c>
      <x:c r="D45" s="9" t="str">
        <x:v>unemployment</x:v>
      </x:c>
      <x:c r="E45" s="9" t="str">
        <x:v>Ишсизлик даражасини камайтириш мақсадида: 86,7 минг аҳолини доимий ишга жойлаштириш; 336,4 минг нафар фуқаро даромадларини оширишга қаратилган хизматлар билан қамраб олиш; 66,4 минг норасмий бандлар фаолияти легаллаштириш. Бунда йил якуни билан тадбиркорларни молиявий қўллаб-қувватлаш орқали 26 минг 658 та аҳолининг даромади оширилади. Жумладан, маҳалла ихтисослашувини чуқурлаштиришга қаратилган 8 мингта 790 та микролойиҳа ишга тушириш.</x:v>
      </x:c>
      <x:c r="F45" s="9" t="str">
        <x:v>2026 йил якуни билан</x:v>
      </x:c>
      <x:c r="G45" s="9" t="str">
        <x:v>IV чорак / йил якуни</x:v>
      </x:c>
      <x:c r="H45" s="9" t="str">
        <x:v>Йил якуни</x:v>
      </x:c>
      <x:c r="I45" s="9" t="str"/>
      <x:c r="J45" s="9" t="str">
        <x:v>Вилоят</x:v>
      </x:c>
      <x:c r="K45" s="9" t="str">
        <x:v>Андижон вилояти ҳокимлиги</x:v>
      </x:c>
      <x:c r="L45" s="17" t="str"/>
      <x:c r="M45" s="17" t="str"/>
      <x:c r="N45" s="17" t="str"/>
      <x:c r="O45" s="17" t="str"/>
      <x:c r="P45" s="17" t="str"/>
      <x:c r="Q45" s="17" t="str"/>
      <x:c r="R45" s="17" t="str"/>
      <x:c r="S45" s="17" t="str"/>
      <x:c r="T45" s="19" t="str"/>
      <x:c r="U45" s="19" t="str"/>
      <x:c r="V45" s="17" t="str"/>
      <x:c r="W45" s="17" t="str"/>
      <x:c r="X45" s="18" t="str">
        <x:f>IF(COUNTA(L45:W45)=0,"",IF(AND(L45&lt;&gt;"",M45&lt;&gt;"",N45&lt;&gt;"",U45&lt;&gt;"",V45&lt;&gt;"",IF(H45="Ҳар ой",I45&lt;&gt;"",TRUE),IF(OR(L45="Қайтарилди",L45="Рад этилди",M45="Бажарилмади",M45="Муддати кечикди",N45&lt;&gt;"Етарли"),AND(Q45&lt;&gt;"",R45&lt;&gt;"",T45&lt;&gt;""),TRUE)),"Тайёр","Тўлдирилмаган"))</x:f>
        <x:v>Тўлдирилмаган</x:v>
      </x:c>
    </x:row>
    <x:row r="46">
      <x:c r="A46" s="9" t="str">
        <x:v>T-045</x:v>
      </x:c>
      <x:c r="B46" s="9" t="n">
        <x:v>70</x:v>
      </x:c>
      <x:c r="C46" s="9" t="str">
        <x:v>7.1. Ишсизликни қисқартириш йўналишида</x:v>
      </x:c>
      <x:c r="D46" s="9" t="str">
        <x:v>small_business_share</x:v>
      </x:c>
      <x:c r="E46" s="9" t="str">
        <x:v>Кичик ва ўрта бизнес лойиҳаларига жами 3,6 трлн сўм кредитлар ажратиш. Шундан тадбиркорлик дастурлари доирасида 871 млрд сўм кредитлар ажратиш.</x:v>
      </x:c>
      <x:c r="F46" s="9" t="str">
        <x:v>2026 йил I ярим йиллик</x:v>
      </x:c>
      <x:c r="G46" s="9" t="str">
        <x:v>II чорак / I ярим йиллик</x:v>
      </x:c>
      <x:c r="H46" s="9" t="str">
        <x:v>Ярим йиллик</x:v>
      </x:c>
      <x:c r="I46" s="9" t="str"/>
      <x:c r="J46" s="9" t="str">
        <x:v>Вилоят</x:v>
      </x:c>
      <x:c r="K46" s="9" t="str">
        <x:v>Андижон вилояти ҳокимлиги</x:v>
      </x:c>
      <x:c r="L46" s="17" t="str"/>
      <x:c r="M46" s="17" t="str"/>
      <x:c r="N46" s="17" t="str"/>
      <x:c r="O46" s="17" t="str"/>
      <x:c r="P46" s="17" t="str"/>
      <x:c r="Q46" s="17" t="str"/>
      <x:c r="R46" s="17" t="str"/>
      <x:c r="S46" s="17" t="str"/>
      <x:c r="T46" s="19" t="str"/>
      <x:c r="U46" s="19" t="str"/>
      <x:c r="V46" s="17" t="str"/>
      <x:c r="W46" s="17" t="str"/>
      <x:c r="X46" s="18" t="str">
        <x:f>IF(COUNTA(L46:W46)=0,"",IF(AND(L46&lt;&gt;"",M46&lt;&gt;"",N46&lt;&gt;"",U46&lt;&gt;"",V46&lt;&gt;"",IF(H46="Ҳар ой",I46&lt;&gt;"",TRUE),IF(OR(L46="Қайтарилди",L46="Рад этилди",M46="Бажарилмади",M46="Муддати кечикди",N46&lt;&gt;"Етарли"),AND(Q46&lt;&gt;"",R46&lt;&gt;"",T46&lt;&gt;""),TRUE)),"Тайёр","Тўлдирилмаган"))</x:f>
        <x:v>Тўлдирилмаган</x:v>
      </x:c>
    </x:row>
    <x:row r="47">
      <x:c r="A47" s="9" t="str">
        <x:v>T-046</x:v>
      </x:c>
      <x:c r="B47" s="9" t="n">
        <x:v>71</x:v>
      </x:c>
      <x:c r="C47" s="9" t="str">
        <x:v>7.1. Ишсизликни қисқартириш йўналишида</x:v>
      </x:c>
      <x:c r="D47" s="9" t="str">
        <x:v>small_business_share</x:v>
      </x:c>
      <x:c r="E47" s="9" t="str">
        <x:v>Йил якуни билан кичик ва ўрта бизнес лойиҳаларига жами 8 трлн сўм кредитлар ажратиш. Шундан тадбиркорлик дастурлари доирасида 2,1 трлн сўм кредитлар ажратиш.</x:v>
      </x:c>
      <x:c r="F47" s="9" t="str">
        <x:v>2026 йил якуни билан</x:v>
      </x:c>
      <x:c r="G47" s="9" t="str">
        <x:v>IV чорак / йил якуни</x:v>
      </x:c>
      <x:c r="H47" s="9" t="str">
        <x:v>Йил якуни</x:v>
      </x:c>
      <x:c r="I47" s="9" t="str"/>
      <x:c r="J47" s="9" t="str">
        <x:v>Вилоят</x:v>
      </x:c>
      <x:c r="K47" s="9" t="str">
        <x:v>Андижон вилояти ҳокимлиги</x:v>
      </x:c>
      <x:c r="L47" s="17" t="str"/>
      <x:c r="M47" s="17" t="str"/>
      <x:c r="N47" s="17" t="str"/>
      <x:c r="O47" s="17" t="str"/>
      <x:c r="P47" s="17" t="str"/>
      <x:c r="Q47" s="17" t="str"/>
      <x:c r="R47" s="17" t="str"/>
      <x:c r="S47" s="17" t="str"/>
      <x:c r="T47" s="19" t="str"/>
      <x:c r="U47" s="19" t="str"/>
      <x:c r="V47" s="17" t="str"/>
      <x:c r="W47" s="17" t="str"/>
      <x:c r="X47" s="18" t="str">
        <x:f>IF(COUNTA(L47:W47)=0,"",IF(AND(L47&lt;&gt;"",M47&lt;&gt;"",N47&lt;&gt;"",U47&lt;&gt;"",V47&lt;&gt;"",IF(H47="Ҳар ой",I47&lt;&gt;"",TRUE),IF(OR(L47="Қайтарилди",L47="Рад этилди",M47="Бажарилмади",M47="Муддати кечикди",N47&lt;&gt;"Етарли"),AND(Q47&lt;&gt;"",R47&lt;&gt;"",T47&lt;&gt;""),TRUE)),"Тайёр","Тўлдирилмаган"))</x:f>
        <x:v>Тўлдирилмаган</x:v>
      </x:c>
    </x:row>
    <x:row r="48">
      <x:c r="A48" s="9" t="str">
        <x:v>T-047</x:v>
      </x:c>
      <x:c r="B48" s="9" t="n">
        <x:v>72</x:v>
      </x:c>
      <x:c r="C48" s="9" t="str">
        <x:v>7.1. Ишсизликни қисқартириш йўналишида</x:v>
      </x:c>
      <x:c r="D48" s="9" t="str">
        <x:v>small_business_share</x:v>
      </x:c>
      <x:c r="E48" s="9" t="str">
        <x:v>Жорий йилнинг I чораги якуни билан янги ташкил қилинган тадбиркорлик субъектлари сони ўтган йилнинг мос даврига нисбатан камайиш кузатилган 3 та туманларида ишбилармонлик муҳитини яхшилаш чоралари кўриш.</x:v>
      </x:c>
      <x:c r="F48" s="9" t="str">
        <x:v>2026 йил I ярим йиллик</x:v>
      </x:c>
      <x:c r="G48" s="9" t="str">
        <x:v>II чорак / I ярим йиллик</x:v>
      </x:c>
      <x:c r="H48" s="9" t="str">
        <x:v>Ярим йиллик</x:v>
      </x:c>
      <x:c r="I48" s="9" t="str"/>
      <x:c r="J48" s="9" t="str">
        <x:v>Вилоят</x:v>
      </x:c>
      <x:c r="K48" s="9" t="str">
        <x:v>Андижон вилояти ҳокимлиги</x:v>
      </x:c>
      <x:c r="L48" s="17" t="str"/>
      <x:c r="M48" s="17" t="str"/>
      <x:c r="N48" s="17" t="str"/>
      <x:c r="O48" s="17" t="str"/>
      <x:c r="P48" s="17" t="str"/>
      <x:c r="Q48" s="17" t="str"/>
      <x:c r="R48" s="17" t="str"/>
      <x:c r="S48" s="17" t="str"/>
      <x:c r="T48" s="19" t="str"/>
      <x:c r="U48" s="19" t="str"/>
      <x:c r="V48" s="17" t="str"/>
      <x:c r="W48" s="17" t="str"/>
      <x:c r="X48" s="18" t="str">
        <x:f>IF(COUNTA(L48:W48)=0,"",IF(AND(L48&lt;&gt;"",M48&lt;&gt;"",N48&lt;&gt;"",U48&lt;&gt;"",V48&lt;&gt;"",IF(H48="Ҳар ой",I48&lt;&gt;"",TRUE),IF(OR(L48="Қайтарилди",L48="Рад этилди",M48="Бажарилмади",M48="Муддати кечикди",N48&lt;&gt;"Етарли"),AND(Q48&lt;&gt;"",R48&lt;&gt;"",T48&lt;&gt;""),TRUE)),"Тайёр","Тўлдирилмаган"))</x:f>
        <x:v>Тўлдирилмаган</x:v>
      </x:c>
    </x:row>
    <x:row r="49">
      <x:c r="A49" s="9" t="str">
        <x:v>T-048</x:v>
      </x:c>
      <x:c r="B49" s="9" t="n">
        <x:v>73</x:v>
      </x:c>
      <x:c r="C49" s="9" t="str">
        <x:v>7.1. Ишсизликни қисқартириш йўналишида</x:v>
      </x:c>
      <x:c r="D49" s="9" t="str">
        <x:v>small_business_share</x:v>
      </x:c>
      <x:c r="E49"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49" s="9" t="str">
        <x:v>2026 йил якуни билан</x:v>
      </x:c>
      <x:c r="G49" s="9" t="str">
        <x:v>IV чорак / йил якуни</x:v>
      </x:c>
      <x:c r="H49" s="9" t="str">
        <x:v>Йил якуни</x:v>
      </x:c>
      <x:c r="I49" s="9" t="str"/>
      <x:c r="J49" s="9" t="str">
        <x:v>Андижон тумани; Андижон шаҳри; Асака тумани; Балиқчи тумани; Булоқбоши тумани; Бўстон тумани; Жалақудуқ тумани; Избоскан тумани; Марҳамат тумани; Олтинкўл тумани; Пахтаобод тумани; Улуғнор тумани; Хонобод шаҳри; Хўжаобод тумани; Шаҳрихон тумани; Қўрғонтепа тумани</x:v>
      </x:c>
      <x:c r="K49" s="9" t="str">
        <x:v>Андижон вилояти ҳокимлиги, Андижон шаҳри ҳокимлиги, Асака тумани ҳокимлиги, Андижон тумани ҳокимлиги, Шаҳрихон тумани ҳокимлиги, Қўрғонтепа тумани ҳокимлиги, Избоскан тумани ҳокимлиги, Хўжаобод тумани ҳокимлиги, Олтинкўл тумани ҳокимлиги, Балиқчи тумани ҳокимлиги, Пахтаобод тумани ҳокимлиги, Марҳамат тумани ҳокимлиги, Жалақудуқ тумани ҳокимлиги, Булоқбоши тумани ҳокимлиги, Бўстон тумани ҳокимлиги, Улуғнор тумани ҳокимлиги, Хонобод шаҳри ҳокимлиги</x:v>
      </x:c>
      <x:c r="L49" s="17" t="str"/>
      <x:c r="M49" s="17" t="str"/>
      <x:c r="N49" s="17" t="str"/>
      <x:c r="O49" s="17" t="str"/>
      <x:c r="P49" s="17" t="str"/>
      <x:c r="Q49" s="17" t="str"/>
      <x:c r="R49" s="17" t="str"/>
      <x:c r="S49" s="17" t="str"/>
      <x:c r="T49" s="19" t="str"/>
      <x:c r="U49" s="19" t="str"/>
      <x:c r="V49" s="17" t="str"/>
      <x:c r="W49" s="17" t="str"/>
      <x:c r="X49" s="18" t="str">
        <x:f>IF(COUNTA(L49:W49)=0,"",IF(AND(L49&lt;&gt;"",M49&lt;&gt;"",N49&lt;&gt;"",U49&lt;&gt;"",V49&lt;&gt;"",IF(H49="Ҳар ой",I49&lt;&gt;"",TRUE),IF(OR(L49="Қайтарилди",L49="Рад этилди",M49="Бажарилмади",M49="Муддати кечикди",N49&lt;&gt;"Етарли"),AND(Q49&lt;&gt;"",R49&lt;&gt;"",T49&lt;&gt;""),TRUE)),"Тайёр","Тўлдирилмаган"))</x:f>
        <x:v>Тўлдирилмаган</x:v>
      </x:c>
    </x:row>
    <x:row r="50">
      <x:c r="A50" s="9" t="str">
        <x:v>T-049</x:v>
      </x:c>
      <x:c r="B50" s="9" t="n">
        <x:v>78</x:v>
      </x:c>
      <x:c r="C50" s="9" t="str">
        <x:v>7.2. Камбағалликни қисқартириш йўналишида</x:v>
      </x:c>
      <x:c r="D50" s="9" t="str">
        <x:v>poverty</x:v>
      </x:c>
      <x:c r="E50"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50" s="9" t="str">
        <x:v>2026 йил I ярим йиллик</x:v>
      </x:c>
      <x:c r="G50" s="9" t="str">
        <x:v>II чорак / I ярим йиллик</x:v>
      </x:c>
      <x:c r="H50" s="9" t="str">
        <x:v>Ярим йиллик</x:v>
      </x:c>
      <x:c r="I50" s="9" t="str"/>
      <x:c r="J50" s="9" t="str">
        <x:v>Бўстон тумани; Пахтаобод тумани; Улуғнор тумани</x:v>
      </x:c>
      <x:c r="K50" s="9" t="str">
        <x:v>Андижон вилояти ҳокимлиги</x:v>
      </x:c>
      <x:c r="L50" s="17" t="str"/>
      <x:c r="M50" s="17" t="str"/>
      <x:c r="N50" s="17" t="str"/>
      <x:c r="O50" s="17" t="str"/>
      <x:c r="P50" s="17" t="str"/>
      <x:c r="Q50" s="17" t="str"/>
      <x:c r="R50" s="17" t="str"/>
      <x:c r="S50" s="17" t="str"/>
      <x:c r="T50" s="19" t="str"/>
      <x:c r="U50" s="19" t="str"/>
      <x:c r="V50" s="17" t="str"/>
      <x:c r="W50" s="17" t="str"/>
      <x:c r="X50" s="18" t="str">
        <x:f>IF(COUNTA(L50:W50)=0,"",IF(AND(L50&lt;&gt;"",M50&lt;&gt;"",N50&lt;&gt;"",U50&lt;&gt;"",V50&lt;&gt;"",IF(H50="Ҳар ой",I50&lt;&gt;"",TRUE),IF(OR(L50="Қайтарилди",L50="Рад этилди",M50="Бажарилмади",M50="Муддати кечикди",N50&lt;&gt;"Етарли"),AND(Q50&lt;&gt;"",R50&lt;&gt;"",T50&lt;&gt;""),TRUE)),"Тайёр","Тўлдирилмаган"))</x:f>
        <x:v>Тўлдирилмаган</x:v>
      </x:c>
    </x:row>
    <x:row r="51">
      <x:c r="A51" s="9" t="str">
        <x:v>T-050</x:v>
      </x:c>
      <x:c r="B51" s="9" t="n">
        <x:v>80</x:v>
      </x:c>
      <x:c r="C51" s="9" t="str">
        <x:v>7.2. Камбағалликни қисқартириш йўналишида</x:v>
      </x:c>
      <x:c r="D51" s="9" t="str">
        <x:v>poverty</x:v>
      </x:c>
      <x:c r="E51" s="9" t="str">
        <x:v>Йил якуни билан 26 мингта камбағал оилага “индивидуал режалар” асосида 31,5 мингта хизматлар кўрсатиш.</x:v>
      </x:c>
      <x:c r="F51" s="9" t="str">
        <x:v>2026 йил якуни билан</x:v>
      </x:c>
      <x:c r="G51" s="9" t="str">
        <x:v>IV чорак / йил якуни</x:v>
      </x:c>
      <x:c r="H51" s="9" t="str">
        <x:v>Йил якуни</x:v>
      </x:c>
      <x:c r="I51" s="9" t="str"/>
      <x:c r="J51" s="9" t="str">
        <x:v>Вилоят</x:v>
      </x:c>
      <x:c r="K51" s="9" t="str">
        <x:v>Андижон вилояти ҳокимлиги</x:v>
      </x:c>
      <x:c r="L51" s="17" t="str"/>
      <x:c r="M51" s="17" t="str"/>
      <x:c r="N51" s="17" t="str"/>
      <x:c r="O51" s="17" t="str"/>
      <x:c r="P51" s="17" t="str"/>
      <x:c r="Q51" s="17" t="str"/>
      <x:c r="R51" s="17" t="str"/>
      <x:c r="S51" s="17" t="str"/>
      <x:c r="T51" s="19" t="str"/>
      <x:c r="U51" s="19" t="str"/>
      <x:c r="V51" s="17" t="str"/>
      <x:c r="W51" s="17" t="str"/>
      <x:c r="X51" s="18" t="str">
        <x:f>IF(COUNTA(L51:W51)=0,"",IF(AND(L51&lt;&gt;"",M51&lt;&gt;"",N51&lt;&gt;"",U51&lt;&gt;"",V51&lt;&gt;"",IF(H51="Ҳар ой",I51&lt;&gt;"",TRUE),IF(OR(L51="Қайтарилди",L51="Рад этилди",M51="Бажарилмади",M51="Муддати кечикди",N51&lt;&gt;"Етарли"),AND(Q51&lt;&gt;"",R51&lt;&gt;"",T51&lt;&gt;""),TRUE)),"Тайёр","Тўлдирилмаган"))</x:f>
        <x:v>Тўлдирилмаган</x:v>
      </x:c>
    </x:row>
    <x:row r="52">
      <x:c r="A52" s="9" t="str">
        <x:v>T-051</x:v>
      </x:c>
      <x:c r="B52" s="9" t="n">
        <x:v>81</x:v>
      </x:c>
      <x:c r="C52" s="9" t="str">
        <x:v>7.2. Камбағалликни қисқартириш йўналишида</x:v>
      </x:c>
      <x:c r="D52" s="9" t="str">
        <x:v>poverty</x:v>
      </x:c>
      <x:c r="E52"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52" s="9" t="str">
        <x:v>2026 йил I ярим йиллик</x:v>
      </x:c>
      <x:c r="G52" s="9" t="str">
        <x:v>II чорак / I ярим йиллик</x:v>
      </x:c>
      <x:c r="H52" s="9" t="str">
        <x:v>Ярим йиллик</x:v>
      </x:c>
      <x:c r="I52" s="9" t="str"/>
      <x:c r="J52" s="9" t="str">
        <x:v>Асака тумани; Бўстон тумани; Пахтаобод тумани; Улуғнор тумани; Шаҳрихон тумани</x:v>
      </x:c>
      <x:c r="K52" s="9" t="str">
        <x:v>Андижон вилояти ҳокимлиги, Бўстон тумани ҳокимлиги, Улуғнор тумани ҳокимлиги, Пахтаобод тумани ҳокимлиги</x:v>
      </x:c>
      <x:c r="L52" s="17" t="str"/>
      <x:c r="M52" s="17" t="str"/>
      <x:c r="N52" s="17" t="str"/>
      <x:c r="O52" s="17" t="str"/>
      <x:c r="P52" s="17" t="str"/>
      <x:c r="Q52" s="17" t="str"/>
      <x:c r="R52" s="17" t="str"/>
      <x:c r="S52" s="17" t="str"/>
      <x:c r="T52" s="19" t="str"/>
      <x:c r="U52" s="19" t="str"/>
      <x:c r="V52" s="17" t="str"/>
      <x:c r="W52" s="17" t="str"/>
      <x:c r="X52" s="18" t="str">
        <x:f>IF(COUNTA(L52:W52)=0,"",IF(AND(L52&lt;&gt;"",M52&lt;&gt;"",N52&lt;&gt;"",U52&lt;&gt;"",V52&lt;&gt;"",IF(H52="Ҳар ой",I52&lt;&gt;"",TRUE),IF(OR(L52="Қайтарилди",L52="Рад этилди",M52="Бажарилмади",M52="Муддати кечикди",N52&lt;&gt;"Етарли"),AND(Q52&lt;&gt;"",R52&lt;&gt;"",T52&lt;&gt;""),TRUE)),"Тайёр","Тўлдирилмаган"))</x:f>
        <x:v>Тўлдирилмаган</x:v>
      </x:c>
    </x:row>
    <x:row r="53">
      <x:c r="A53" s="9" t="str">
        <x:v>T-052</x:v>
      </x:c>
      <x:c r="B53" s="9" t="n">
        <x:v>82</x:v>
      </x:c>
      <x:c r="C53" s="9" t="str">
        <x:v>7.2. Камбағалликни қисқартириш йўналишида</x:v>
      </x:c>
      <x:c r="D53" s="9" t="str">
        <x:v>poverty</x:v>
      </x:c>
      <x:c r="E53"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53" s="9" t="str">
        <x:v>2026 йил якуни билан</x:v>
      </x:c>
      <x:c r="G53" s="9" t="str">
        <x:v>IV чорак / йил якуни</x:v>
      </x:c>
      <x:c r="H53" s="9" t="str">
        <x:v>Йил якуни</x:v>
      </x:c>
      <x:c r="I53" s="9" t="str"/>
      <x:c r="J53" s="9" t="str">
        <x:v>Бўстон тумани; Пахтаобод тумани; Улуғнор тумани</x:v>
      </x:c>
      <x:c r="K53" s="9" t="str">
        <x:v>Андижон вилояти ҳокимлиги, Бўстон тумани ҳокимлиги, Улуғнор тумани ҳокимлиги, Пахтаобод тумани ҳокимлиги</x:v>
      </x:c>
      <x:c r="L53" s="17" t="str"/>
      <x:c r="M53" s="17" t="str"/>
      <x:c r="N53" s="17" t="str"/>
      <x:c r="O53" s="17" t="str"/>
      <x:c r="P53" s="17" t="str"/>
      <x:c r="Q53" s="17" t="str"/>
      <x:c r="R53" s="17" t="str"/>
      <x:c r="S53" s="17" t="str"/>
      <x:c r="T53" s="19" t="str"/>
      <x:c r="U53" s="19" t="str"/>
      <x:c r="V53" s="17" t="str"/>
      <x:c r="W53" s="17" t="str"/>
      <x:c r="X53" s="18" t="str">
        <x:f>IF(COUNTA(L53:W53)=0,"",IF(AND(L53&lt;&gt;"",M53&lt;&gt;"",N53&lt;&gt;"",U53&lt;&gt;"",V53&lt;&gt;"",IF(H53="Ҳар ой",I53&lt;&gt;"",TRUE),IF(OR(L53="Қайтарилди",L53="Рад этилди",M53="Бажарилмади",M53="Муддати кечикди",N53&lt;&gt;"Етарли"),AND(Q53&lt;&gt;"",R53&lt;&gt;"",T53&lt;&gt;""),TRUE)),"Тайёр","Тўлдирилмаган"))</x:f>
        <x:v>Тўлдирилмаган</x:v>
      </x:c>
    </x:row>
  </x:sheetData>
  <x:conditionalFormatting sqref="X2:X53">
    <x:cfRule type="containsText" dxfId="0" priority="1" operator="containsText" text="Тайёр"/>
  </x:conditionalFormatting>
  <x:conditionalFormatting sqref="M2:M53">
    <x:cfRule type="containsText" dxfId="1" priority="2" operator="containsText" text="Бажарилди"/>
    <x:cfRule type="containsText" dxfId="2" priority="3" operator="containsText" text="Бажарилмади"/>
    <x:cfRule type="containsText" dxfId="3" priority="4" operator="containsText" text="Муддати кечикди"/>
  </x:conditionalFormatting>
  <x:dataValidations count="8">
    <x:dataValidation type="list" sqref="L2:L53">
      <x:formula1>'05_Луғатлар'!$A$2:$A$6</x:formula1>
    </x:dataValidation>
    <x:dataValidation type="list" sqref="M2:M53">
      <x:formula1>'05_Луғатлар'!$B$2:$B$6</x:formula1>
    </x:dataValidation>
    <x:dataValidation type="list" sqref="N2:N53">
      <x:formula1>'05_Луғатлар'!$C$2:$C$4</x:formula1>
    </x:dataValidation>
    <x:dataValidation type="list" sqref="Q2:Q53">
      <x:formula1>'05_Луғатлар'!$D$2:$D$10</x:formula1>
    </x:dataValidation>
    <x:dataValidation type="list" sqref="G2:G53">
      <x:formula1>'05_Луғатлар'!$E$2:$E$6</x:formula1>
    </x:dataValidation>
    <x:dataValidation type="list" sqref="H2:H53">
      <x:formula1>'05_Луғатлар'!$F$2:$F$6</x:formula1>
    </x:dataValidation>
    <x:dataValidation type="list" sqref="I2:I53">
      <x:formula1>'05_Луғатлар'!$G$2:$G$15</x:formula1>
    </x:dataValidation>
    <x:dataValidation type="list" sqref="P2:P53">
      <x:formula1>'05_Луғатлар'!$H$2:$H$13</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0" hidden="0" customWidth="1"/>
    <x:col min="4" max="4" width="70" hidden="0" customWidth="1"/>
    <x:col min="5" max="5" width="24" hidden="0" customWidth="1"/>
    <x:col min="6" max="6" width="16" hidden="0" customWidth="1"/>
    <x:col min="7" max="7" width="18" hidden="0" customWidth="1"/>
    <x:col min="8" max="8" width="20" hidden="0" customWidth="1"/>
    <x:col min="9" max="9" width="20" hidden="0" customWidth="1"/>
    <x:col min="10" max="10" width="18" hidden="0" customWidth="1"/>
    <x:col min="11" max="11" width="18" hidden="0" customWidth="1"/>
    <x:col min="12" max="12" width="16" hidden="0" customWidth="1"/>
    <x:col min="13" max="13" width="22" hidden="0" customWidth="1"/>
    <x:col min="14" max="14" width="42" hidden="0" customWidth="1"/>
    <x:col min="15" max="15" width="42" hidden="0" customWidth="1"/>
    <x:col min="16" max="16" width="18" hidden="0" customWidth="1"/>
    <x:col min="17" max="17" width="18" hidden="0" customWidth="1"/>
    <x:col min="18" max="18" width="22" hidden="0" customWidth="1"/>
    <x:col min="19" max="19" width="34" hidden="0" customWidth="1"/>
    <x:col min="20" max="20" width="18" hidden="0" customWidth="1"/>
  </x:cols>
  <x:sheetData>
    <x:row r="1">
      <x:c r="A1" s="16" t="str">
        <x:v>M-ID</x:v>
      </x:c>
      <x:c r="B1" s="16" t="str">
        <x:v>T-ID</x:v>
      </x:c>
      <x:c r="C1" s="16" t="str">
        <x:v>Source №</x:v>
      </x:c>
      <x:c r="D1" s="16" t="str">
        <x:v>Топшириқ матни</x:v>
      </x:c>
      <x:c r="E1" s="16" t="str">
        <x:v>Ижро муддати</x:v>
      </x:c>
      <x:c r="F1" s="16" t="str">
        <x:v>Ҳисобот ойи</x:v>
      </x:c>
      <x:c r="G1" s="16" t="str">
        <x:v>Ҳудуд</x:v>
      </x:c>
      <x:c r="H1" s="16" t="str">
        <x:v>Ҳисобот ҳолати</x:v>
      </x:c>
      <x:c r="I1" s="16" t="str">
        <x:v>Ижро ҳолати</x:v>
      </x:c>
      <x:c r="J1" s="16" t="str">
        <x:v>Далил ҳолати</x:v>
      </x:c>
      <x:c r="K1" s="16" t="str">
        <x:v>Тасдиқланган факт</x:v>
      </x:c>
      <x:c r="L1" s="16" t="str">
        <x:v>Ўлчов бирлиги</x:v>
      </x:c>
      <x:c r="M1" s="16" t="str">
        <x:v>Муаммо тури</x:v>
      </x:c>
      <x:c r="N1" s="16" t="str">
        <x:v>Изоҳ</x:v>
      </x:c>
      <x:c r="O1" s="16" t="str">
        <x:v>Тавсия / кўрсатма</x:v>
      </x:c>
      <x:c r="P1" s="16" t="str">
        <x:v>Тузатиш муддати</x:v>
      </x:c>
      <x:c r="Q1" s="16" t="str">
        <x:v>Текширув санаси</x:v>
      </x:c>
      <x:c r="R1" s="16" t="str">
        <x:v>Текширувчи</x:v>
      </x:c>
      <x:c r="S1" s="16" t="str">
        <x:v>Файл/ҳавола</x:v>
      </x:c>
      <x:c r="T1" s="16" t="str">
        <x:v>Платформага қабул</x:v>
      </x:c>
    </x:row>
    <x:row r="2">
      <x:c r="A2" s="9" t="str">
        <x:v>M-001</x:v>
      </x:c>
      <x:c r="B2" s="9" t="str">
        <x:v>T-009</x:v>
      </x:c>
      <x:c r="C2" s="9" t="n">
        <x:v>13</x:v>
      </x:c>
      <x:c r="D2" s="9" t="str">
        <x:v>Ҳудудий саноатнинг асосий қисмини ташкил этувчи 20 та корхонани ҳар ой таҳлил қилиш.</x:v>
      </x:c>
      <x:c r="E2" s="9" t="str">
        <x:v>2026 йил давомида,ҳар ой</x:v>
      </x:c>
      <x:c r="F2" s="9" t="str">
        <x:v>Январь</x:v>
      </x:c>
      <x:c r="G2" s="9" t="str">
        <x:v>Вилоят</x:v>
      </x:c>
      <x:c r="H2" s="17" t="str"/>
      <x:c r="I2" s="17" t="str"/>
      <x:c r="J2" s="17" t="str"/>
      <x:c r="K2" s="17" t="str"/>
      <x:c r="L2" s="17" t="str"/>
      <x:c r="M2" s="17" t="str"/>
      <x:c r="N2" s="17" t="str"/>
      <x:c r="O2" s="17" t="str"/>
      <x:c r="P2" s="19" t="str"/>
      <x:c r="Q2" s="19" t="str"/>
      <x:c r="R2" s="17" t="str"/>
      <x:c r="S2" s="17" t="str"/>
      <x:c r="T2" s="18" t="str">
        <x:f>IF(COUNTA(H2:S2)=0,"",IF(AND(H2&lt;&gt;"",I2&lt;&gt;"",J2&lt;&gt;"",Q2&lt;&gt;"",R2&lt;&gt;"",IF(OR(H2="Қайтарилди",H2="Рад этилди",I2="Бажарилмади",I2="Муддати кечикди",J2&lt;&gt;"Етарли"),AND(M2&lt;&gt;"",N2&lt;&gt;"",P2&lt;&gt;""),TRUE)),"Тайёр","Тўлдирилмаган"))</x:f>
        <x:v>Тўлдирилмаган</x:v>
      </x:c>
    </x:row>
    <x:row r="3">
      <x:c r="A3" s="9" t="str">
        <x:v>M-002</x:v>
      </x:c>
      <x:c r="B3" s="9" t="str">
        <x:v>T-009</x:v>
      </x:c>
      <x:c r="C3" s="9" t="n">
        <x:v>13</x:v>
      </x:c>
      <x:c r="D3" s="9" t="str">
        <x:v>Ҳудудий саноатнинг асосий қисмини ташкил этувчи 20 та корхонани ҳар ой таҳлил қилиш.</x:v>
      </x:c>
      <x:c r="E3" s="9" t="str">
        <x:v>2026 йил давомида,ҳар ой</x:v>
      </x:c>
      <x:c r="F3" s="9" t="str">
        <x:v>Февраль</x:v>
      </x:c>
      <x:c r="G3" s="9" t="str">
        <x:v>Вилоят</x:v>
      </x:c>
      <x:c r="H3" s="17" t="str"/>
      <x:c r="I3" s="17" t="str"/>
      <x:c r="J3" s="17" t="str"/>
      <x:c r="K3" s="17" t="str"/>
      <x:c r="L3" s="17" t="str"/>
      <x:c r="M3" s="17" t="str"/>
      <x:c r="N3" s="17" t="str"/>
      <x:c r="O3" s="17" t="str"/>
      <x:c r="P3" s="19" t="str"/>
      <x:c r="Q3" s="19" t="str"/>
      <x:c r="R3" s="17" t="str"/>
      <x:c r="S3" s="17" t="str"/>
      <x:c r="T3" s="18" t="str">
        <x:f>IF(COUNTA(H3:S3)=0,"",IF(AND(H3&lt;&gt;"",I3&lt;&gt;"",J3&lt;&gt;"",Q3&lt;&gt;"",R3&lt;&gt;"",IF(OR(H3="Қайтарилди",H3="Рад этилди",I3="Бажарилмади",I3="Муддати кечикди",J3&lt;&gt;"Етарли"),AND(M3&lt;&gt;"",N3&lt;&gt;"",P3&lt;&gt;""),TRUE)),"Тайёр","Тўлдирилмаган"))</x:f>
        <x:v>Тўлдирилмаган</x:v>
      </x:c>
    </x:row>
    <x:row r="4">
      <x:c r="A4" s="9" t="str">
        <x:v>M-003</x:v>
      </x:c>
      <x:c r="B4" s="9" t="str">
        <x:v>T-009</x:v>
      </x:c>
      <x:c r="C4" s="9" t="n">
        <x:v>13</x:v>
      </x:c>
      <x:c r="D4" s="9" t="str">
        <x:v>Ҳудудий саноатнинг асосий қисмини ташкил этувчи 20 та корхонани ҳар ой таҳлил қилиш.</x:v>
      </x:c>
      <x:c r="E4" s="9" t="str">
        <x:v>2026 йил давомида,ҳар ой</x:v>
      </x:c>
      <x:c r="F4" s="9" t="str">
        <x:v>Март</x:v>
      </x:c>
      <x:c r="G4" s="9" t="str">
        <x:v>Вилоят</x:v>
      </x:c>
      <x:c r="H4" s="17" t="str"/>
      <x:c r="I4" s="17" t="str"/>
      <x:c r="J4" s="17" t="str"/>
      <x:c r="K4" s="17" t="str"/>
      <x:c r="L4" s="17" t="str"/>
      <x:c r="M4" s="17" t="str"/>
      <x:c r="N4" s="17" t="str"/>
      <x:c r="O4" s="17" t="str"/>
      <x:c r="P4" s="19" t="str"/>
      <x:c r="Q4" s="19" t="str"/>
      <x:c r="R4" s="17" t="str"/>
      <x:c r="S4" s="17" t="str"/>
      <x:c r="T4" s="18" t="str">
        <x:f>IF(COUNTA(H4:S4)=0,"",IF(AND(H4&lt;&gt;"",I4&lt;&gt;"",J4&lt;&gt;"",Q4&lt;&gt;"",R4&lt;&gt;"",IF(OR(H4="Қайтарилди",H4="Рад этилди",I4="Бажарилмади",I4="Муддати кечикди",J4&lt;&gt;"Етарли"),AND(M4&lt;&gt;"",N4&lt;&gt;"",P4&lt;&gt;""),TRUE)),"Тайёр","Тўлдирилмаган"))</x:f>
        <x:v>Тўлдирилмаган</x:v>
      </x:c>
    </x:row>
    <x:row r="5">
      <x:c r="A5" s="9" t="str">
        <x:v>M-004</x:v>
      </x:c>
      <x:c r="B5" s="9" t="str">
        <x:v>T-009</x:v>
      </x:c>
      <x:c r="C5" s="9" t="n">
        <x:v>13</x:v>
      </x:c>
      <x:c r="D5" s="9" t="str">
        <x:v>Ҳудудий саноатнинг асосий қисмини ташкил этувчи 20 та корхонани ҳар ой таҳлил қилиш.</x:v>
      </x:c>
      <x:c r="E5" s="9" t="str">
        <x:v>2026 йил давомида,ҳар ой</x:v>
      </x:c>
      <x:c r="F5" s="9" t="str">
        <x:v>Апрель</x:v>
      </x:c>
      <x:c r="G5" s="9" t="str">
        <x:v>Вилоят</x:v>
      </x:c>
      <x:c r="H5" s="17" t="str"/>
      <x:c r="I5" s="17" t="str"/>
      <x:c r="J5" s="17" t="str"/>
      <x:c r="K5" s="17" t="str"/>
      <x:c r="L5" s="17" t="str"/>
      <x:c r="M5" s="17" t="str"/>
      <x:c r="N5" s="17" t="str"/>
      <x:c r="O5" s="17" t="str"/>
      <x:c r="P5" s="19" t="str"/>
      <x:c r="Q5" s="19" t="str"/>
      <x:c r="R5" s="17" t="str"/>
      <x:c r="S5" s="17" t="str"/>
      <x:c r="T5" s="18" t="str">
        <x:f>IF(COUNTA(H5:S5)=0,"",IF(AND(H5&lt;&gt;"",I5&lt;&gt;"",J5&lt;&gt;"",Q5&lt;&gt;"",R5&lt;&gt;"",IF(OR(H5="Қайтарилди",H5="Рад этилди",I5="Бажарилмади",I5="Муддати кечикди",J5&lt;&gt;"Етарли"),AND(M5&lt;&gt;"",N5&lt;&gt;"",P5&lt;&gt;""),TRUE)),"Тайёр","Тўлдирилмаган"))</x:f>
        <x:v>Тўлдирилмаган</x:v>
      </x:c>
    </x:row>
    <x:row r="6">
      <x:c r="A6" s="9" t="str">
        <x:v>M-005</x:v>
      </x:c>
      <x:c r="B6" s="9" t="str">
        <x:v>T-009</x:v>
      </x:c>
      <x:c r="C6" s="9" t="n">
        <x:v>13</x:v>
      </x:c>
      <x:c r="D6" s="9" t="str">
        <x:v>Ҳудудий саноатнинг асосий қисмини ташкил этувчи 20 та корхонани ҳар ой таҳлил қилиш.</x:v>
      </x:c>
      <x:c r="E6" s="9" t="str">
        <x:v>2026 йил давомида,ҳар ой</x:v>
      </x:c>
      <x:c r="F6" s="9" t="str">
        <x:v>Май</x:v>
      </x:c>
      <x:c r="G6" s="9" t="str">
        <x:v>Вилоят</x:v>
      </x:c>
      <x:c r="H6" s="17" t="str"/>
      <x:c r="I6" s="17" t="str"/>
      <x:c r="J6" s="17" t="str"/>
      <x:c r="K6" s="17" t="str"/>
      <x:c r="L6" s="17" t="str"/>
      <x:c r="M6" s="17" t="str"/>
      <x:c r="N6" s="17" t="str"/>
      <x:c r="O6" s="17" t="str"/>
      <x:c r="P6" s="19" t="str"/>
      <x:c r="Q6" s="19" t="str"/>
      <x:c r="R6" s="17" t="str"/>
      <x:c r="S6" s="17" t="str"/>
      <x:c r="T6" s="18" t="str">
        <x:f>IF(COUNTA(H6:S6)=0,"",IF(AND(H6&lt;&gt;"",I6&lt;&gt;"",J6&lt;&gt;"",Q6&lt;&gt;"",R6&lt;&gt;"",IF(OR(H6="Қайтарилди",H6="Рад этилди",I6="Бажарилмади",I6="Муддати кечикди",J6&lt;&gt;"Етарли"),AND(M6&lt;&gt;"",N6&lt;&gt;"",P6&lt;&gt;""),TRUE)),"Тайёр","Тўлдирилмаган"))</x:f>
        <x:v>Тўлдирилмаган</x:v>
      </x:c>
    </x:row>
    <x:row r="7">
      <x:c r="A7" s="9" t="str">
        <x:v>M-006</x:v>
      </x:c>
      <x:c r="B7" s="9" t="str">
        <x:v>T-009</x:v>
      </x:c>
      <x:c r="C7" s="9" t="n">
        <x:v>13</x:v>
      </x:c>
      <x:c r="D7" s="9" t="str">
        <x:v>Ҳудудий саноатнинг асосий қисмини ташкил этувчи 20 та корхонани ҳар ой таҳлил қилиш.</x:v>
      </x:c>
      <x:c r="E7" s="9" t="str">
        <x:v>2026 йил давомида,ҳар ой</x:v>
      </x:c>
      <x:c r="F7" s="9" t="str">
        <x:v>Июнь</x:v>
      </x:c>
      <x:c r="G7" s="9" t="str">
        <x:v>Вилоят</x:v>
      </x:c>
      <x:c r="H7" s="17" t="str"/>
      <x:c r="I7" s="17" t="str"/>
      <x:c r="J7" s="17" t="str"/>
      <x:c r="K7" s="17" t="str"/>
      <x:c r="L7" s="17" t="str"/>
      <x:c r="M7" s="17" t="str"/>
      <x:c r="N7" s="17" t="str"/>
      <x:c r="O7" s="17" t="str"/>
      <x:c r="P7" s="19" t="str"/>
      <x:c r="Q7" s="19" t="str"/>
      <x:c r="R7" s="17" t="str"/>
      <x:c r="S7" s="17" t="str"/>
      <x:c r="T7" s="18" t="str">
        <x:f>IF(COUNTA(H7:S7)=0,"",IF(AND(H7&lt;&gt;"",I7&lt;&gt;"",J7&lt;&gt;"",Q7&lt;&gt;"",R7&lt;&gt;"",IF(OR(H7="Қайтарилди",H7="Рад этилди",I7="Бажарилмади",I7="Муддати кечикди",J7&lt;&gt;"Етарли"),AND(M7&lt;&gt;"",N7&lt;&gt;"",P7&lt;&gt;""),TRUE)),"Тайёр","Тўлдирилмаган"))</x:f>
        <x:v>Тўлдирилмаган</x:v>
      </x:c>
    </x:row>
    <x:row r="8">
      <x:c r="A8" s="9" t="str">
        <x:v>M-007</x:v>
      </x:c>
      <x:c r="B8" s="9" t="str">
        <x:v>T-009</x:v>
      </x:c>
      <x:c r="C8" s="9" t="n">
        <x:v>13</x:v>
      </x:c>
      <x:c r="D8" s="9" t="str">
        <x:v>Ҳудудий саноатнинг асосий қисмини ташкил этувчи 20 та корхонани ҳар ой таҳлил қилиш.</x:v>
      </x:c>
      <x:c r="E8" s="9" t="str">
        <x:v>2026 йил давомида,ҳар ой</x:v>
      </x:c>
      <x:c r="F8" s="9" t="str">
        <x:v>Июль</x:v>
      </x:c>
      <x:c r="G8" s="9" t="str">
        <x:v>Вилоят</x:v>
      </x:c>
      <x:c r="H8" s="17" t="str"/>
      <x:c r="I8" s="17" t="str"/>
      <x:c r="J8" s="17" t="str"/>
      <x:c r="K8" s="17" t="str"/>
      <x:c r="L8" s="17" t="str"/>
      <x:c r="M8" s="17" t="str"/>
      <x:c r="N8" s="17" t="str"/>
      <x:c r="O8" s="17" t="str"/>
      <x:c r="P8" s="19" t="str"/>
      <x:c r="Q8" s="19" t="str"/>
      <x:c r="R8" s="17" t="str"/>
      <x:c r="S8" s="17" t="str"/>
      <x:c r="T8" s="18" t="str">
        <x:f>IF(COUNTA(H8:S8)=0,"",IF(AND(H8&lt;&gt;"",I8&lt;&gt;"",J8&lt;&gt;"",Q8&lt;&gt;"",R8&lt;&gt;"",IF(OR(H8="Қайтарилди",H8="Рад этилди",I8="Бажарилмади",I8="Муддати кечикди",J8&lt;&gt;"Етарли"),AND(M8&lt;&gt;"",N8&lt;&gt;"",P8&lt;&gt;""),TRUE)),"Тайёр","Тўлдирилмаган"))</x:f>
        <x:v>Тўлдирилмаган</x:v>
      </x:c>
    </x:row>
    <x:row r="9">
      <x:c r="A9" s="9" t="str">
        <x:v>M-008</x:v>
      </x:c>
      <x:c r="B9" s="9" t="str">
        <x:v>T-009</x:v>
      </x:c>
      <x:c r="C9" s="9" t="n">
        <x:v>13</x:v>
      </x:c>
      <x:c r="D9" s="9" t="str">
        <x:v>Ҳудудий саноатнинг асосий қисмини ташкил этувчи 20 та корхонани ҳар ой таҳлил қилиш.</x:v>
      </x:c>
      <x:c r="E9" s="9" t="str">
        <x:v>2026 йил давомида,ҳар ой</x:v>
      </x:c>
      <x:c r="F9" s="9" t="str">
        <x:v>Август</x:v>
      </x:c>
      <x:c r="G9" s="9" t="str">
        <x:v>Вилоят</x:v>
      </x:c>
      <x:c r="H9" s="17" t="str"/>
      <x:c r="I9" s="17" t="str"/>
      <x:c r="J9" s="17" t="str"/>
      <x:c r="K9" s="17" t="str"/>
      <x:c r="L9" s="17" t="str"/>
      <x:c r="M9" s="17" t="str"/>
      <x:c r="N9" s="17" t="str"/>
      <x:c r="O9" s="17" t="str"/>
      <x:c r="P9" s="19" t="str"/>
      <x:c r="Q9" s="19" t="str"/>
      <x:c r="R9" s="17" t="str"/>
      <x:c r="S9" s="17" t="str"/>
      <x:c r="T9" s="18" t="str">
        <x:f>IF(COUNTA(H9:S9)=0,"",IF(AND(H9&lt;&gt;"",I9&lt;&gt;"",J9&lt;&gt;"",Q9&lt;&gt;"",R9&lt;&gt;"",IF(OR(H9="Қайтарилди",H9="Рад этилди",I9="Бажарилмади",I9="Муддати кечикди",J9&lt;&gt;"Етарли"),AND(M9&lt;&gt;"",N9&lt;&gt;"",P9&lt;&gt;""),TRUE)),"Тайёр","Тўлдирилмаган"))</x:f>
        <x:v>Тўлдирилмаган</x:v>
      </x:c>
    </x:row>
    <x:row r="10">
      <x:c r="A10" s="9" t="str">
        <x:v>M-009</x:v>
      </x:c>
      <x:c r="B10" s="9" t="str">
        <x:v>T-009</x:v>
      </x:c>
      <x:c r="C10" s="9" t="n">
        <x:v>13</x:v>
      </x:c>
      <x:c r="D10" s="9" t="str">
        <x:v>Ҳудудий саноатнинг асосий қисмини ташкил этувчи 20 та корхонани ҳар ой таҳлил қилиш.</x:v>
      </x:c>
      <x:c r="E10" s="9" t="str">
        <x:v>2026 йил давомида,ҳар ой</x:v>
      </x:c>
      <x:c r="F10" s="9" t="str">
        <x:v>Сентябрь</x:v>
      </x:c>
      <x:c r="G10" s="9" t="str">
        <x:v>Вилоят</x:v>
      </x:c>
      <x:c r="H10" s="17" t="str"/>
      <x:c r="I10" s="17" t="str"/>
      <x:c r="J10" s="17" t="str"/>
      <x:c r="K10" s="17" t="str"/>
      <x:c r="L10" s="17" t="str"/>
      <x:c r="M10" s="17" t="str"/>
      <x:c r="N10" s="17" t="str"/>
      <x:c r="O10" s="17" t="str"/>
      <x:c r="P10" s="19" t="str"/>
      <x:c r="Q10" s="19" t="str"/>
      <x:c r="R10" s="17" t="str"/>
      <x:c r="S10" s="17" t="str"/>
      <x:c r="T10" s="18" t="str">
        <x:f>IF(COUNTA(H10:S10)=0,"",IF(AND(H10&lt;&gt;"",I10&lt;&gt;"",J10&lt;&gt;"",Q10&lt;&gt;"",R10&lt;&gt;"",IF(OR(H10="Қайтарилди",H10="Рад этилди",I10="Бажарилмади",I10="Муддати кечикди",J10&lt;&gt;"Етарли"),AND(M10&lt;&gt;"",N10&lt;&gt;"",P10&lt;&gt;""),TRUE)),"Тайёр","Тўлдирилмаган"))</x:f>
        <x:v>Тўлдирилмаган</x:v>
      </x:c>
    </x:row>
    <x:row r="11">
      <x:c r="A11" s="9" t="str">
        <x:v>M-010</x:v>
      </x:c>
      <x:c r="B11" s="9" t="str">
        <x:v>T-009</x:v>
      </x:c>
      <x:c r="C11" s="9" t="n">
        <x:v>13</x:v>
      </x:c>
      <x:c r="D11" s="9" t="str">
        <x:v>Ҳудудий саноатнинг асосий қисмини ташкил этувчи 20 та корхонани ҳар ой таҳлил қилиш.</x:v>
      </x:c>
      <x:c r="E11" s="9" t="str">
        <x:v>2026 йил давомида,ҳар ой</x:v>
      </x:c>
      <x:c r="F11" s="9" t="str">
        <x:v>Октябрь</x:v>
      </x:c>
      <x:c r="G11" s="9" t="str">
        <x:v>Вилоят</x:v>
      </x:c>
      <x:c r="H11" s="17" t="str"/>
      <x:c r="I11" s="17" t="str"/>
      <x:c r="J11" s="17" t="str"/>
      <x:c r="K11" s="17" t="str"/>
      <x:c r="L11" s="17" t="str"/>
      <x:c r="M11" s="17" t="str"/>
      <x:c r="N11" s="17" t="str"/>
      <x:c r="O11" s="17" t="str"/>
      <x:c r="P11" s="19" t="str"/>
      <x:c r="Q11" s="19" t="str"/>
      <x:c r="R11" s="17" t="str"/>
      <x:c r="S11" s="17" t="str"/>
      <x:c r="T11" s="18" t="str">
        <x:f>IF(COUNTA(H11:S11)=0,"",IF(AND(H11&lt;&gt;"",I11&lt;&gt;"",J11&lt;&gt;"",Q11&lt;&gt;"",R11&lt;&gt;"",IF(OR(H11="Қайтарилди",H11="Рад этилди",I11="Бажарилмади",I11="Муддати кечикди",J11&lt;&gt;"Етарли"),AND(M11&lt;&gt;"",N11&lt;&gt;"",P11&lt;&gt;""),TRUE)),"Тайёр","Тўлдирилмаган"))</x:f>
        <x:v>Тўлдирилмаган</x:v>
      </x:c>
    </x:row>
    <x:row r="12">
      <x:c r="A12" s="9" t="str">
        <x:v>M-011</x:v>
      </x:c>
      <x:c r="B12" s="9" t="str">
        <x:v>T-009</x:v>
      </x:c>
      <x:c r="C12" s="9" t="n">
        <x:v>13</x:v>
      </x:c>
      <x:c r="D12" s="9" t="str">
        <x:v>Ҳудудий саноатнинг асосий қисмини ташкил этувчи 20 та корхонани ҳар ой таҳлил қилиш.</x:v>
      </x:c>
      <x:c r="E12" s="9" t="str">
        <x:v>2026 йил давомида,ҳар ой</x:v>
      </x:c>
      <x:c r="F12" s="9" t="str">
        <x:v>Ноябрь</x:v>
      </x:c>
      <x:c r="G12" s="9" t="str">
        <x:v>Вилоят</x:v>
      </x:c>
      <x:c r="H12" s="17" t="str"/>
      <x:c r="I12" s="17" t="str"/>
      <x:c r="J12" s="17" t="str"/>
      <x:c r="K12" s="17" t="str"/>
      <x:c r="L12" s="17" t="str"/>
      <x:c r="M12" s="17" t="str"/>
      <x:c r="N12" s="17" t="str"/>
      <x:c r="O12" s="17" t="str"/>
      <x:c r="P12" s="19" t="str"/>
      <x:c r="Q12" s="19" t="str"/>
      <x:c r="R12" s="17" t="str"/>
      <x:c r="S12" s="17" t="str"/>
      <x:c r="T12" s="18" t="str">
        <x:f>IF(COUNTA(H12:S12)=0,"",IF(AND(H12&lt;&gt;"",I12&lt;&gt;"",J12&lt;&gt;"",Q12&lt;&gt;"",R12&lt;&gt;"",IF(OR(H12="Қайтарилди",H12="Рад этилди",I12="Бажарилмади",I12="Муддати кечикди",J12&lt;&gt;"Етарли"),AND(M12&lt;&gt;"",N12&lt;&gt;"",P12&lt;&gt;""),TRUE)),"Тайёр","Тўлдирилмаган"))</x:f>
        <x:v>Тўлдирилмаган</x:v>
      </x:c>
    </x:row>
    <x:row r="13">
      <x:c r="A13" s="9" t="str">
        <x:v>M-012</x:v>
      </x:c>
      <x:c r="B13" s="9" t="str">
        <x:v>T-009</x:v>
      </x:c>
      <x:c r="C13" s="9" t="n">
        <x:v>13</x:v>
      </x:c>
      <x:c r="D13" s="9" t="str">
        <x:v>Ҳудудий саноатнинг асосий қисмини ташкил этувчи 20 та корхонани ҳар ой таҳлил қилиш.</x:v>
      </x:c>
      <x:c r="E13" s="9" t="str">
        <x:v>2026 йил давомида,ҳар ой</x:v>
      </x:c>
      <x:c r="F13" s="9" t="str">
        <x:v>Декабрь</x:v>
      </x:c>
      <x:c r="G13" s="9" t="str">
        <x:v>Вилоят</x:v>
      </x:c>
      <x:c r="H13" s="17" t="str"/>
      <x:c r="I13" s="17" t="str"/>
      <x:c r="J13" s="17" t="str"/>
      <x:c r="K13" s="17" t="str"/>
      <x:c r="L13" s="17" t="str"/>
      <x:c r="M13" s="17" t="str"/>
      <x:c r="N13" s="17" t="str"/>
      <x:c r="O13" s="17" t="str"/>
      <x:c r="P13" s="19" t="str"/>
      <x:c r="Q13" s="19" t="str"/>
      <x:c r="R13" s="17" t="str"/>
      <x:c r="S13" s="17" t="str"/>
      <x:c r="T13" s="18" t="str">
        <x:f>IF(COUNTA(H13:S13)=0,"",IF(AND(H13&lt;&gt;"",I13&lt;&gt;"",J13&lt;&gt;"",Q13&lt;&gt;"",R13&lt;&gt;"",IF(OR(H13="Қайтарилди",H13="Рад этилди",I13="Бажарилмади",I13="Муддати кечикди",J13&lt;&gt;"Етарли"),AND(M13&lt;&gt;"",N13&lt;&gt;"",P13&lt;&gt;""),TRUE)),"Тайёр","Тўлдирилмаган"))</x:f>
        <x:v>Тўлдирилмаган</x:v>
      </x:c>
    </x:row>
    <x:row r="14">
      <x:c r="A14" s="9" t="str">
        <x:v>M-013</x:v>
      </x:c>
      <x:c r="B14" s="9" t="str">
        <x:v>T-024</x:v>
      </x:c>
      <x:c r="C14" s="9" t="n">
        <x:v>40</x:v>
      </x:c>
      <x:c r="D14" s="9" t="str">
        <x:v>Аҳоли истеъмоли учун ҳар ой 9 минг 878 тонна мол гўшти, 2 минг 334 тонна қўй гўшти, 2 минг 275 тонна парранда гўшти етказиб бериш.</x:v>
      </x:c>
      <x:c r="E14" s="9" t="str">
        <x:v>2026 йил давомида, ҳар ой</x:v>
      </x:c>
      <x:c r="F14" s="9" t="str">
        <x:v>Январь</x:v>
      </x:c>
      <x:c r="G14" s="9" t="str">
        <x:v>Вилоят</x:v>
      </x:c>
      <x:c r="H14" s="17" t="str"/>
      <x:c r="I14" s="17" t="str"/>
      <x:c r="J14" s="17" t="str"/>
      <x:c r="K14" s="17" t="str"/>
      <x:c r="L14" s="17" t="str"/>
      <x:c r="M14" s="17" t="str"/>
      <x:c r="N14" s="17" t="str"/>
      <x:c r="O14" s="17" t="str"/>
      <x:c r="P14" s="19" t="str"/>
      <x:c r="Q14" s="19" t="str"/>
      <x:c r="R14" s="17" t="str"/>
      <x:c r="S14" s="17" t="str"/>
      <x:c r="T14" s="18" t="str">
        <x:f>IF(COUNTA(H14:S14)=0,"",IF(AND(H14&lt;&gt;"",I14&lt;&gt;"",J14&lt;&gt;"",Q14&lt;&gt;"",R14&lt;&gt;"",IF(OR(H14="Қайтарилди",H14="Рад этилди",I14="Бажарилмади",I14="Муддати кечикди",J14&lt;&gt;"Етарли"),AND(M14&lt;&gt;"",N14&lt;&gt;"",P14&lt;&gt;""),TRUE)),"Тайёр","Тўлдирилмаган"))</x:f>
        <x:v>Тўлдирилмаган</x:v>
      </x:c>
    </x:row>
    <x:row r="15">
      <x:c r="A15" s="9" t="str">
        <x:v>M-014</x:v>
      </x:c>
      <x:c r="B15" s="9" t="str">
        <x:v>T-024</x:v>
      </x:c>
      <x:c r="C15" s="9" t="n">
        <x:v>40</x:v>
      </x:c>
      <x:c r="D15" s="9" t="str">
        <x:v>Аҳоли истеъмоли учун ҳар ой 9 минг 878 тонна мол гўшти, 2 минг 334 тонна қўй гўшти, 2 минг 275 тонна парранда гўшти етказиб бериш.</x:v>
      </x:c>
      <x:c r="E15" s="9" t="str">
        <x:v>2026 йил давомида, ҳар ой</x:v>
      </x:c>
      <x:c r="F15" s="9" t="str">
        <x:v>Февраль</x:v>
      </x:c>
      <x:c r="G15" s="9" t="str">
        <x:v>Вилоят</x:v>
      </x:c>
      <x:c r="H15" s="17" t="str"/>
      <x:c r="I15" s="17" t="str"/>
      <x:c r="J15" s="17" t="str"/>
      <x:c r="K15" s="17" t="str"/>
      <x:c r="L15" s="17" t="str"/>
      <x:c r="M15" s="17" t="str"/>
      <x:c r="N15" s="17" t="str"/>
      <x:c r="O15" s="17" t="str"/>
      <x:c r="P15" s="19" t="str"/>
      <x:c r="Q15" s="19" t="str"/>
      <x:c r="R15" s="17" t="str"/>
      <x:c r="S15" s="17" t="str"/>
      <x:c r="T15" s="18" t="str">
        <x:f>IF(COUNTA(H15:S15)=0,"",IF(AND(H15&lt;&gt;"",I15&lt;&gt;"",J15&lt;&gt;"",Q15&lt;&gt;"",R15&lt;&gt;"",IF(OR(H15="Қайтарилди",H15="Рад этилди",I15="Бажарилмади",I15="Муддати кечикди",J15&lt;&gt;"Етарли"),AND(M15&lt;&gt;"",N15&lt;&gt;"",P15&lt;&gt;""),TRUE)),"Тайёр","Тўлдирилмаган"))</x:f>
        <x:v>Тўлдирилмаган</x:v>
      </x:c>
    </x:row>
    <x:row r="16">
      <x:c r="A16" s="9" t="str">
        <x:v>M-015</x:v>
      </x:c>
      <x:c r="B16" s="9" t="str">
        <x:v>T-024</x:v>
      </x:c>
      <x:c r="C16" s="9" t="n">
        <x:v>40</x:v>
      </x:c>
      <x:c r="D16" s="9" t="str">
        <x:v>Аҳоли истеъмоли учун ҳар ой 9 минг 878 тонна мол гўшти, 2 минг 334 тонна қўй гўшти, 2 минг 275 тонна парранда гўшти етказиб бериш.</x:v>
      </x:c>
      <x:c r="E16" s="9" t="str">
        <x:v>2026 йил давомида, ҳар ой</x:v>
      </x:c>
      <x:c r="F16" s="9" t="str">
        <x:v>Март</x:v>
      </x:c>
      <x:c r="G16" s="9" t="str">
        <x:v>Вилоят</x:v>
      </x:c>
      <x:c r="H16" s="17" t="str"/>
      <x:c r="I16" s="17" t="str"/>
      <x:c r="J16" s="17" t="str"/>
      <x:c r="K16" s="17" t="str"/>
      <x:c r="L16" s="17" t="str"/>
      <x:c r="M16" s="17" t="str"/>
      <x:c r="N16" s="17" t="str"/>
      <x:c r="O16" s="17" t="str"/>
      <x:c r="P16" s="19" t="str"/>
      <x:c r="Q16" s="19" t="str"/>
      <x:c r="R16" s="17" t="str"/>
      <x:c r="S16" s="17" t="str"/>
      <x:c r="T16" s="18" t="str">
        <x:f>IF(COUNTA(H16:S16)=0,"",IF(AND(H16&lt;&gt;"",I16&lt;&gt;"",J16&lt;&gt;"",Q16&lt;&gt;"",R16&lt;&gt;"",IF(OR(H16="Қайтарилди",H16="Рад этилди",I16="Бажарилмади",I16="Муддати кечикди",J16&lt;&gt;"Етарли"),AND(M16&lt;&gt;"",N16&lt;&gt;"",P16&lt;&gt;""),TRUE)),"Тайёр","Тўлдирилмаган"))</x:f>
        <x:v>Тўлдирилмаган</x:v>
      </x:c>
    </x:row>
    <x:row r="17">
      <x:c r="A17" s="9" t="str">
        <x:v>M-016</x:v>
      </x:c>
      <x:c r="B17" s="9" t="str">
        <x:v>T-024</x:v>
      </x:c>
      <x:c r="C17" s="9" t="n">
        <x:v>40</x:v>
      </x:c>
      <x:c r="D17" s="9" t="str">
        <x:v>Аҳоли истеъмоли учун ҳар ой 9 минг 878 тонна мол гўшти, 2 минг 334 тонна қўй гўшти, 2 минг 275 тонна парранда гўшти етказиб бериш.</x:v>
      </x:c>
      <x:c r="E17" s="9" t="str">
        <x:v>2026 йил давомида, ҳар ой</x:v>
      </x:c>
      <x:c r="F17" s="9" t="str">
        <x:v>Апрель</x:v>
      </x:c>
      <x:c r="G17" s="9" t="str">
        <x:v>Вилоят</x:v>
      </x:c>
      <x:c r="H17" s="17" t="str"/>
      <x:c r="I17" s="17" t="str"/>
      <x:c r="J17" s="17" t="str"/>
      <x:c r="K17" s="17" t="str"/>
      <x:c r="L17" s="17" t="str"/>
      <x:c r="M17" s="17" t="str"/>
      <x:c r="N17" s="17" t="str"/>
      <x:c r="O17" s="17" t="str"/>
      <x:c r="P17" s="19" t="str"/>
      <x:c r="Q17" s="19" t="str"/>
      <x:c r="R17" s="17" t="str"/>
      <x:c r="S17" s="17" t="str"/>
      <x:c r="T17" s="18" t="str">
        <x:f>IF(COUNTA(H17:S17)=0,"",IF(AND(H17&lt;&gt;"",I17&lt;&gt;"",J17&lt;&gt;"",Q17&lt;&gt;"",R17&lt;&gt;"",IF(OR(H17="Қайтарилди",H17="Рад этилди",I17="Бажарилмади",I17="Муддати кечикди",J17&lt;&gt;"Етарли"),AND(M17&lt;&gt;"",N17&lt;&gt;"",P17&lt;&gt;""),TRUE)),"Тайёр","Тўлдирилмаган"))</x:f>
        <x:v>Тўлдирилмаган</x:v>
      </x:c>
    </x:row>
    <x:row r="18">
      <x:c r="A18" s="9" t="str">
        <x:v>M-017</x:v>
      </x:c>
      <x:c r="B18" s="9" t="str">
        <x:v>T-024</x:v>
      </x:c>
      <x:c r="C18" s="9" t="n">
        <x:v>40</x:v>
      </x:c>
      <x:c r="D18" s="9" t="str">
        <x:v>Аҳоли истеъмоли учун ҳар ой 9 минг 878 тонна мол гўшти, 2 минг 334 тонна қўй гўшти, 2 минг 275 тонна парранда гўшти етказиб бериш.</x:v>
      </x:c>
      <x:c r="E18" s="9" t="str">
        <x:v>2026 йил давомида, ҳар ой</x:v>
      </x:c>
      <x:c r="F18" s="9" t="str">
        <x:v>Май</x:v>
      </x:c>
      <x:c r="G18" s="9" t="str">
        <x:v>Вилоят</x:v>
      </x:c>
      <x:c r="H18" s="17" t="str"/>
      <x:c r="I18" s="17" t="str"/>
      <x:c r="J18" s="17" t="str"/>
      <x:c r="K18" s="17" t="str"/>
      <x:c r="L18" s="17" t="str"/>
      <x:c r="M18" s="17" t="str"/>
      <x:c r="N18" s="17" t="str"/>
      <x:c r="O18" s="17" t="str"/>
      <x:c r="P18" s="19" t="str"/>
      <x:c r="Q18" s="19" t="str"/>
      <x:c r="R18" s="17" t="str"/>
      <x:c r="S18" s="17" t="str"/>
      <x:c r="T18" s="18" t="str">
        <x:f>IF(COUNTA(H18:S18)=0,"",IF(AND(H18&lt;&gt;"",I18&lt;&gt;"",J18&lt;&gt;"",Q18&lt;&gt;"",R18&lt;&gt;"",IF(OR(H18="Қайтарилди",H18="Рад этилди",I18="Бажарилмади",I18="Муддати кечикди",J18&lt;&gt;"Етарли"),AND(M18&lt;&gt;"",N18&lt;&gt;"",P18&lt;&gt;""),TRUE)),"Тайёр","Тўлдирилмаган"))</x:f>
        <x:v>Тўлдирилмаган</x:v>
      </x:c>
    </x:row>
    <x:row r="19">
      <x:c r="A19" s="9" t="str">
        <x:v>M-018</x:v>
      </x:c>
      <x:c r="B19" s="9" t="str">
        <x:v>T-024</x:v>
      </x:c>
      <x:c r="C19" s="9" t="n">
        <x:v>40</x:v>
      </x:c>
      <x:c r="D19" s="9" t="str">
        <x:v>Аҳоли истеъмоли учун ҳар ой 9 минг 878 тонна мол гўшти, 2 минг 334 тонна қўй гўшти, 2 минг 275 тонна парранда гўшти етказиб бериш.</x:v>
      </x:c>
      <x:c r="E19" s="9" t="str">
        <x:v>2026 йил давомида, ҳар ой</x:v>
      </x:c>
      <x:c r="F19" s="9" t="str">
        <x:v>Июнь</x:v>
      </x:c>
      <x:c r="G19" s="9" t="str">
        <x:v>Вилоят</x:v>
      </x:c>
      <x:c r="H19" s="17" t="str"/>
      <x:c r="I19" s="17" t="str"/>
      <x:c r="J19" s="17" t="str"/>
      <x:c r="K19" s="17" t="str"/>
      <x:c r="L19" s="17" t="str"/>
      <x:c r="M19" s="17" t="str"/>
      <x:c r="N19" s="17" t="str"/>
      <x:c r="O19" s="17" t="str"/>
      <x:c r="P19" s="19" t="str"/>
      <x:c r="Q19" s="19" t="str"/>
      <x:c r="R19" s="17" t="str"/>
      <x:c r="S19" s="17" t="str"/>
      <x:c r="T19" s="18" t="str">
        <x:f>IF(COUNTA(H19:S19)=0,"",IF(AND(H19&lt;&gt;"",I19&lt;&gt;"",J19&lt;&gt;"",Q19&lt;&gt;"",R19&lt;&gt;"",IF(OR(H19="Қайтарилди",H19="Рад этилди",I19="Бажарилмади",I19="Муддати кечикди",J19&lt;&gt;"Етарли"),AND(M19&lt;&gt;"",N19&lt;&gt;"",P19&lt;&gt;""),TRUE)),"Тайёр","Тўлдирилмаган"))</x:f>
        <x:v>Тўлдирилмаган</x:v>
      </x:c>
    </x:row>
    <x:row r="20">
      <x:c r="A20" s="9" t="str">
        <x:v>M-019</x:v>
      </x:c>
      <x:c r="B20" s="9" t="str">
        <x:v>T-024</x:v>
      </x:c>
      <x:c r="C20" s="9" t="n">
        <x:v>40</x:v>
      </x:c>
      <x:c r="D20" s="9" t="str">
        <x:v>Аҳоли истеъмоли учун ҳар ой 9 минг 878 тонна мол гўшти, 2 минг 334 тонна қўй гўшти, 2 минг 275 тонна парранда гўшти етказиб бериш.</x:v>
      </x:c>
      <x:c r="E20" s="9" t="str">
        <x:v>2026 йил давомида, ҳар ой</x:v>
      </x:c>
      <x:c r="F20" s="9" t="str">
        <x:v>Июль</x:v>
      </x:c>
      <x:c r="G20" s="9" t="str">
        <x:v>Вилоят</x:v>
      </x:c>
      <x:c r="H20" s="17" t="str"/>
      <x:c r="I20" s="17" t="str"/>
      <x:c r="J20" s="17" t="str"/>
      <x:c r="K20" s="17" t="str"/>
      <x:c r="L20" s="17" t="str"/>
      <x:c r="M20" s="17" t="str"/>
      <x:c r="N20" s="17" t="str"/>
      <x:c r="O20" s="17" t="str"/>
      <x:c r="P20" s="19" t="str"/>
      <x:c r="Q20" s="19" t="str"/>
      <x:c r="R20" s="17" t="str"/>
      <x:c r="S20" s="17" t="str"/>
      <x:c r="T20" s="18" t="str">
        <x:f>IF(COUNTA(H20:S20)=0,"",IF(AND(H20&lt;&gt;"",I20&lt;&gt;"",J20&lt;&gt;"",Q20&lt;&gt;"",R20&lt;&gt;"",IF(OR(H20="Қайтарилди",H20="Рад этилди",I20="Бажарилмади",I20="Муддати кечикди",J20&lt;&gt;"Етарли"),AND(M20&lt;&gt;"",N20&lt;&gt;"",P20&lt;&gt;""),TRUE)),"Тайёр","Тўлдирилмаган"))</x:f>
        <x:v>Тўлдирилмаган</x:v>
      </x:c>
    </x:row>
    <x:row r="21">
      <x:c r="A21" s="9" t="str">
        <x:v>M-020</x:v>
      </x:c>
      <x:c r="B21" s="9" t="str">
        <x:v>T-024</x:v>
      </x:c>
      <x:c r="C21" s="9" t="n">
        <x:v>40</x:v>
      </x:c>
      <x:c r="D21" s="9" t="str">
        <x:v>Аҳоли истеъмоли учун ҳар ой 9 минг 878 тонна мол гўшти, 2 минг 334 тонна қўй гўшти, 2 минг 275 тонна парранда гўшти етказиб бериш.</x:v>
      </x:c>
      <x:c r="E21" s="9" t="str">
        <x:v>2026 йил давомида, ҳар ой</x:v>
      </x:c>
      <x:c r="F21" s="9" t="str">
        <x:v>Август</x:v>
      </x:c>
      <x:c r="G21" s="9" t="str">
        <x:v>Вилоят</x:v>
      </x:c>
      <x:c r="H21" s="17" t="str"/>
      <x:c r="I21" s="17" t="str"/>
      <x:c r="J21" s="17" t="str"/>
      <x:c r="K21" s="17" t="str"/>
      <x:c r="L21" s="17" t="str"/>
      <x:c r="M21" s="17" t="str"/>
      <x:c r="N21" s="17" t="str"/>
      <x:c r="O21" s="17" t="str"/>
      <x:c r="P21" s="19" t="str"/>
      <x:c r="Q21" s="19" t="str"/>
      <x:c r="R21" s="17" t="str"/>
      <x:c r="S21" s="17" t="str"/>
      <x:c r="T21" s="18" t="str">
        <x:f>IF(COUNTA(H21:S21)=0,"",IF(AND(H21&lt;&gt;"",I21&lt;&gt;"",J21&lt;&gt;"",Q21&lt;&gt;"",R21&lt;&gt;"",IF(OR(H21="Қайтарилди",H21="Рад этилди",I21="Бажарилмади",I21="Муддати кечикди",J21&lt;&gt;"Етарли"),AND(M21&lt;&gt;"",N21&lt;&gt;"",P21&lt;&gt;""),TRUE)),"Тайёр","Тўлдирилмаган"))</x:f>
        <x:v>Тўлдирилмаган</x:v>
      </x:c>
    </x:row>
    <x:row r="22">
      <x:c r="A22" s="9" t="str">
        <x:v>M-021</x:v>
      </x:c>
      <x:c r="B22" s="9" t="str">
        <x:v>T-024</x:v>
      </x:c>
      <x:c r="C22" s="9" t="n">
        <x:v>40</x:v>
      </x:c>
      <x:c r="D22" s="9" t="str">
        <x:v>Аҳоли истеъмоли учун ҳар ой 9 минг 878 тонна мол гўшти, 2 минг 334 тонна қўй гўшти, 2 минг 275 тонна парранда гўшти етказиб бериш.</x:v>
      </x:c>
      <x:c r="E22" s="9" t="str">
        <x:v>2026 йил давомида, ҳар ой</x:v>
      </x:c>
      <x:c r="F22" s="9" t="str">
        <x:v>Сентябрь</x:v>
      </x:c>
      <x:c r="G22" s="9" t="str">
        <x:v>Вилоят</x:v>
      </x:c>
      <x:c r="H22" s="17" t="str"/>
      <x:c r="I22" s="17" t="str"/>
      <x:c r="J22" s="17" t="str"/>
      <x:c r="K22" s="17" t="str"/>
      <x:c r="L22" s="17" t="str"/>
      <x:c r="M22" s="17" t="str"/>
      <x:c r="N22" s="17" t="str"/>
      <x:c r="O22" s="17" t="str"/>
      <x:c r="P22" s="19" t="str"/>
      <x:c r="Q22" s="19" t="str"/>
      <x:c r="R22" s="17" t="str"/>
      <x:c r="S22" s="17" t="str"/>
      <x:c r="T22" s="18" t="str">
        <x:f>IF(COUNTA(H22:S22)=0,"",IF(AND(H22&lt;&gt;"",I22&lt;&gt;"",J22&lt;&gt;"",Q22&lt;&gt;"",R22&lt;&gt;"",IF(OR(H22="Қайтарилди",H22="Рад этилди",I22="Бажарилмади",I22="Муддати кечикди",J22&lt;&gt;"Етарли"),AND(M22&lt;&gt;"",N22&lt;&gt;"",P22&lt;&gt;""),TRUE)),"Тайёр","Тўлдирилмаган"))</x:f>
        <x:v>Тўлдирилмаган</x:v>
      </x:c>
    </x:row>
    <x:row r="23">
      <x:c r="A23" s="9" t="str">
        <x:v>M-022</x:v>
      </x:c>
      <x:c r="B23" s="9" t="str">
        <x:v>T-024</x:v>
      </x:c>
      <x:c r="C23" s="9" t="n">
        <x:v>40</x:v>
      </x:c>
      <x:c r="D23" s="9" t="str">
        <x:v>Аҳоли истеъмоли учун ҳар ой 9 минг 878 тонна мол гўшти, 2 минг 334 тонна қўй гўшти, 2 минг 275 тонна парранда гўшти етказиб бериш.</x:v>
      </x:c>
      <x:c r="E23" s="9" t="str">
        <x:v>2026 йил давомида, ҳар ой</x:v>
      </x:c>
      <x:c r="F23" s="9" t="str">
        <x:v>Октябрь</x:v>
      </x:c>
      <x:c r="G23" s="9" t="str">
        <x:v>Вилоят</x:v>
      </x:c>
      <x:c r="H23" s="17" t="str"/>
      <x:c r="I23" s="17" t="str"/>
      <x:c r="J23" s="17" t="str"/>
      <x:c r="K23" s="17" t="str"/>
      <x:c r="L23" s="17" t="str"/>
      <x:c r="M23" s="17" t="str"/>
      <x:c r="N23" s="17" t="str"/>
      <x:c r="O23" s="17" t="str"/>
      <x:c r="P23" s="19" t="str"/>
      <x:c r="Q23" s="19" t="str"/>
      <x:c r="R23" s="17" t="str"/>
      <x:c r="S23" s="17" t="str"/>
      <x:c r="T23" s="18" t="str">
        <x:f>IF(COUNTA(H23:S23)=0,"",IF(AND(H23&lt;&gt;"",I23&lt;&gt;"",J23&lt;&gt;"",Q23&lt;&gt;"",R23&lt;&gt;"",IF(OR(H23="Қайтарилди",H23="Рад этилди",I23="Бажарилмади",I23="Муддати кечикди",J23&lt;&gt;"Етарли"),AND(M23&lt;&gt;"",N23&lt;&gt;"",P23&lt;&gt;""),TRUE)),"Тайёр","Тўлдирилмаган"))</x:f>
        <x:v>Тўлдирилмаган</x:v>
      </x:c>
    </x:row>
    <x:row r="24">
      <x:c r="A24" s="9" t="str">
        <x:v>M-023</x:v>
      </x:c>
      <x:c r="B24" s="9" t="str">
        <x:v>T-024</x:v>
      </x:c>
      <x:c r="C24" s="9" t="n">
        <x:v>40</x:v>
      </x:c>
      <x:c r="D24" s="9" t="str">
        <x:v>Аҳоли истеъмоли учун ҳар ой 9 минг 878 тонна мол гўшти, 2 минг 334 тонна қўй гўшти, 2 минг 275 тонна парранда гўшти етказиб бериш.</x:v>
      </x:c>
      <x:c r="E24" s="9" t="str">
        <x:v>2026 йил давомида, ҳар ой</x:v>
      </x:c>
      <x:c r="F24" s="9" t="str">
        <x:v>Ноябрь</x:v>
      </x:c>
      <x:c r="G24" s="9" t="str">
        <x:v>Вилоят</x:v>
      </x:c>
      <x:c r="H24" s="17" t="str"/>
      <x:c r="I24" s="17" t="str"/>
      <x:c r="J24" s="17" t="str"/>
      <x:c r="K24" s="17" t="str"/>
      <x:c r="L24" s="17" t="str"/>
      <x:c r="M24" s="17" t="str"/>
      <x:c r="N24" s="17" t="str"/>
      <x:c r="O24" s="17" t="str"/>
      <x:c r="P24" s="19" t="str"/>
      <x:c r="Q24" s="19" t="str"/>
      <x:c r="R24" s="17" t="str"/>
      <x:c r="S24" s="17" t="str"/>
      <x:c r="T24" s="18" t="str">
        <x:f>IF(COUNTA(H24:S24)=0,"",IF(AND(H24&lt;&gt;"",I24&lt;&gt;"",J24&lt;&gt;"",Q24&lt;&gt;"",R24&lt;&gt;"",IF(OR(H24="Қайтарилди",H24="Рад этилди",I24="Бажарилмади",I24="Муддати кечикди",J24&lt;&gt;"Етарли"),AND(M24&lt;&gt;"",N24&lt;&gt;"",P24&lt;&gt;""),TRUE)),"Тайёр","Тўлдирилмаган"))</x:f>
        <x:v>Тўлдирилмаган</x:v>
      </x:c>
    </x:row>
    <x:row r="25">
      <x:c r="A25" s="9" t="str">
        <x:v>M-024</x:v>
      </x:c>
      <x:c r="B25" s="9" t="str">
        <x:v>T-024</x:v>
      </x:c>
      <x:c r="C25" s="9" t="n">
        <x:v>40</x:v>
      </x:c>
      <x:c r="D25" s="9" t="str">
        <x:v>Аҳоли истеъмоли учун ҳар ой 9 минг 878 тонна мол гўшти, 2 минг 334 тонна қўй гўшти, 2 минг 275 тонна парранда гўшти етказиб бериш.</x:v>
      </x:c>
      <x:c r="E25" s="9" t="str">
        <x:v>2026 йил давомида, ҳар ой</x:v>
      </x:c>
      <x:c r="F25" s="9" t="str">
        <x:v>Декабрь</x:v>
      </x:c>
      <x:c r="G25" s="9" t="str">
        <x:v>Вилоят</x:v>
      </x:c>
      <x:c r="H25" s="17" t="str"/>
      <x:c r="I25" s="17" t="str"/>
      <x:c r="J25" s="17" t="str"/>
      <x:c r="K25" s="17" t="str"/>
      <x:c r="L25" s="17" t="str"/>
      <x:c r="M25" s="17" t="str"/>
      <x:c r="N25" s="17" t="str"/>
      <x:c r="O25" s="17" t="str"/>
      <x:c r="P25" s="19" t="str"/>
      <x:c r="Q25" s="19" t="str"/>
      <x:c r="R25" s="17" t="str"/>
      <x:c r="S25" s="17" t="str"/>
      <x:c r="T25" s="18" t="str">
        <x:f>IF(COUNTA(H25:S25)=0,"",IF(AND(H25&lt;&gt;"",I25&lt;&gt;"",J25&lt;&gt;"",Q25&lt;&gt;"",R25&lt;&gt;"",IF(OR(H25="Қайтарилди",H25="Рад этилди",I25="Бажарилмади",I25="Муддати кечикди",J25&lt;&gt;"Етарли"),AND(M25&lt;&gt;"",N25&lt;&gt;"",P25&lt;&gt;""),TRUE)),"Тайёр","Тўлдирилмаган"))</x:f>
        <x:v>Тўлдирилмаган</x:v>
      </x:c>
    </x:row>
  </x:sheetData>
  <x:conditionalFormatting sqref="T2:T25">
    <x:cfRule type="containsText" dxfId="4" priority="1" operator="containsText" text="Тайёр"/>
  </x:conditionalFormatting>
  <x:conditionalFormatting sqref="I2:I25">
    <x:cfRule type="containsText" dxfId="5" priority="2" operator="containsText" text="Бажарилди"/>
    <x:cfRule type="containsText" dxfId="6" priority="3" operator="containsText" text="Бажарилмади"/>
    <x:cfRule type="containsText" dxfId="7" priority="4" operator="containsText" text="Муддати кечикди"/>
  </x:conditionalFormatting>
  <x:dataValidations count="6">
    <x:dataValidation type="list" sqref="H2:H25">
      <x:formula1>'05_Луғатлар'!$A$2:$A$6</x:formula1>
    </x:dataValidation>
    <x:dataValidation type="list" sqref="I2:I25">
      <x:formula1>'05_Луғатлар'!$B$2:$B$6</x:formula1>
    </x:dataValidation>
    <x:dataValidation type="list" sqref="J2:J25">
      <x:formula1>'05_Луғатлар'!$C$2:$C$4</x:formula1>
    </x:dataValidation>
    <x:dataValidation type="list" sqref="M2:M25">
      <x:formula1>'05_Луғатлар'!$D$2:$D$10</x:formula1>
    </x:dataValidation>
    <x:dataValidation type="list" sqref="F2:F25">
      <x:formula1>'05_Луғатлар'!$G$2:$G$14</x:formula1>
    </x:dataValidation>
    <x:dataValidation type="list" sqref="L2:L25">
      <x:formula1>'05_Луғатлар'!$H$2:$H$13</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1" hidden="0" customWidth="1"/>
    <x:col min="3" max="3" width="10" hidden="0" customWidth="1"/>
    <x:col min="4" max="4" width="22" hidden="0" customWidth="1"/>
    <x:col min="5" max="5" width="72" hidden="0" customWidth="1"/>
    <x:col min="6" max="6" width="22" hidden="0" customWidth="1"/>
    <x:col min="7" max="7" width="24" hidden="0" customWidth="1"/>
    <x:col min="8" max="8" width="14" hidden="0" customWidth="1"/>
    <x:col min="9" max="9" width="14" hidden="0" customWidth="1"/>
    <x:col min="10" max="10" width="16" hidden="0" customWidth="1"/>
    <x:col min="11" max="11" width="42" hidden="0" customWidth="1"/>
    <x:col min="12" max="12" width="20" hidden="0" customWidth="1"/>
    <x:col min="13" max="13" width="20" hidden="0" customWidth="1"/>
    <x:col min="14" max="14" width="18" hidden="0" customWidth="1"/>
    <x:col min="15" max="15" width="18" hidden="0" customWidth="1"/>
    <x:col min="16" max="16" width="22" hidden="0" customWidth="1"/>
    <x:col min="17" max="17" width="42" hidden="0" customWidth="1"/>
    <x:col min="18" max="18" width="42" hidden="0" customWidth="1"/>
    <x:col min="19" max="19" width="18" hidden="0" customWidth="1"/>
    <x:col min="20" max="20" width="18" hidden="0" customWidth="1"/>
    <x:col min="21" max="21" width="22" hidden="0" customWidth="1"/>
    <x:col min="22" max="22" width="34" hidden="0" customWidth="1"/>
    <x:col min="23" max="23" width="18" hidden="0" customWidth="1"/>
  </x:cols>
  <x:sheetData>
    <x:row r="1">
      <x:c r="A1" s="16" t="str">
        <x:v>D-ID</x:v>
      </x:c>
      <x:c r="B1" s="16" t="str">
        <x:v>T-ID</x:v>
      </x:c>
      <x:c r="C1" s="16" t="str">
        <x:v>Source №</x:v>
      </x:c>
      <x:c r="D1" s="16" t="str">
        <x:v>Туман/шаҳар</x:v>
      </x:c>
      <x:c r="E1" s="16" t="str">
        <x:v>Топшириқ матни</x:v>
      </x:c>
      <x:c r="F1" s="16" t="str">
        <x:v>Текширув даври</x:v>
      </x:c>
      <x:c r="G1" s="16" t="str">
        <x:v>Ижро муддати</x:v>
      </x:c>
      <x:c r="H1" s="16" t="str">
        <x:v>Мақсад</x:v>
      </x:c>
      <x:c r="I1" s="16" t="str">
        <x:v>Йиллик мақсад</x:v>
      </x:c>
      <x:c r="J1" s="16" t="str">
        <x:v>Ўлчов бирлиги</x:v>
      </x:c>
      <x:c r="K1" s="16" t="str">
        <x:v>Изоҳ</x:v>
      </x:c>
      <x:c r="L1" s="16" t="str">
        <x:v>Ҳисобот ҳолати</x:v>
      </x:c>
      <x:c r="M1" s="16" t="str">
        <x:v>Ижро ҳолати</x:v>
      </x:c>
      <x:c r="N1" s="16" t="str">
        <x:v>Далил ҳолати</x:v>
      </x:c>
      <x:c r="O1" s="16" t="str">
        <x:v>Тасдиқланган факт</x:v>
      </x:c>
      <x:c r="P1" s="16" t="str">
        <x:v>Муаммо тури</x:v>
      </x:c>
      <x:c r="Q1" s="16" t="str">
        <x:v>Ҳисоб палатаси изоҳи</x:v>
      </x:c>
      <x:c r="R1" s="16" t="str">
        <x:v>Тавсия / кўрсатма</x:v>
      </x:c>
      <x:c r="S1" s="16" t="str">
        <x:v>Тузатиш муддати</x:v>
      </x:c>
      <x:c r="T1" s="16" t="str">
        <x:v>Текширув санаси</x:v>
      </x:c>
      <x:c r="U1" s="16" t="str">
        <x:v>Текширувчи</x:v>
      </x:c>
      <x:c r="V1" s="16" t="str">
        <x:v>Файл/ҳавола</x:v>
      </x:c>
      <x:c r="W1" s="16" t="str">
        <x:v>Платформага қабул</x:v>
      </x:c>
    </x:row>
    <x:row r="2">
      <x:c r="A2" s="9" t="str">
        <x:v>D-001</x:v>
      </x:c>
      <x:c r="B2" s="9" t="str">
        <x:v>T-003</x:v>
      </x:c>
      <x:c r="C2" s="9" t="n">
        <x:v>7</x:v>
      </x:c>
      <x:c r="D2" s="9" t="str">
        <x:v>Хонобод шаҳри</x:v>
      </x:c>
      <x:c r="E2"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F2" s="9" t="str">
        <x:v>II чорак / I ярим йиллик</x:v>
      </x:c>
      <x:c r="G2" s="9" t="str">
        <x:v>2026 йил I ярим йиллик</x:v>
      </x:c>
      <x:c r="H2" s="9" t="str"/>
      <x:c r="I2" s="9" t="str"/>
      <x:c r="J2" s="9" t="str"/>
      <x:c r="K2" s="9" t="str">
        <x:v>Туман/шаҳар ижрочи ёки матнда кўрсатилган, лекин алоҳида рақамли мақсад ажратилмаган.</x:v>
      </x:c>
      <x:c r="L2" s="17" t="str"/>
      <x:c r="M2" s="17" t="str"/>
      <x:c r="N2" s="17" t="str"/>
      <x:c r="O2" s="17" t="str"/>
      <x:c r="P2" s="17" t="str"/>
      <x:c r="Q2" s="17" t="str"/>
      <x:c r="R2" s="17" t="str"/>
      <x:c r="S2" s="19" t="str"/>
      <x:c r="T2" s="19" t="str"/>
      <x:c r="U2" s="17" t="str"/>
      <x:c r="V2" s="17" t="str"/>
      <x:c r="W2" s="18" t="str">
        <x:f>IF(COUNTA(L2:V2)=0,"",IF(AND(L2&lt;&gt;"",M2&lt;&gt;"",N2&lt;&gt;"",T2&lt;&gt;"",U2&lt;&gt;"",IF(OR(L2="Қайтарилди",L2="Рад этилди",M2="Бажарилмади",M2="Муддати кечикди",N2&lt;&gt;"Етарли"),AND(P2&lt;&gt;"",Q2&lt;&gt;"",S2&lt;&gt;""),TRUE)),"Тайёр","Тўлдирилмаган"))</x:f>
        <x:v>Тўлдирилмаган</x:v>
      </x:c>
    </x:row>
    <x:row r="3">
      <x:c r="A3" s="9" t="str">
        <x:v>D-002</x:v>
      </x:c>
      <x:c r="B3" s="9" t="str">
        <x:v>T-003</x:v>
      </x:c>
      <x:c r="C3" s="9" t="n">
        <x:v>7</x:v>
      </x:c>
      <x:c r="D3" s="9" t="str">
        <x:v>Шаҳрихон тумани</x:v>
      </x:c>
      <x:c r="E3"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F3" s="9" t="str">
        <x:v>II чорак / I ярим йиллик</x:v>
      </x:c>
      <x:c r="G3" s="9" t="str">
        <x:v>2026 йил I ярим йиллик</x:v>
      </x:c>
      <x:c r="H3" s="9" t="str"/>
      <x:c r="I3" s="9" t="str"/>
      <x:c r="J3" s="9" t="str"/>
      <x:c r="K3" s="9" t="str">
        <x:v>Туман/шаҳар ижрочи ёки матнда кўрсатилган, лекин алоҳида рақамли мақсад ажратилмаган.</x:v>
      </x:c>
      <x:c r="L3" s="17" t="str"/>
      <x:c r="M3" s="17" t="str"/>
      <x:c r="N3" s="17" t="str"/>
      <x:c r="O3" s="17" t="str"/>
      <x:c r="P3" s="17" t="str"/>
      <x:c r="Q3" s="17" t="str"/>
      <x:c r="R3" s="17" t="str"/>
      <x:c r="S3" s="19" t="str"/>
      <x:c r="T3" s="19" t="str"/>
      <x:c r="U3" s="17" t="str"/>
      <x:c r="V3" s="17" t="str"/>
      <x:c r="W3" s="18" t="str">
        <x:f>IF(COUNTA(L3:V3)=0,"",IF(AND(L3&lt;&gt;"",M3&lt;&gt;"",N3&lt;&gt;"",T3&lt;&gt;"",U3&lt;&gt;"",IF(OR(L3="Қайтарилди",L3="Рад этилди",M3="Бажарилмади",M3="Муддати кечикди",N3&lt;&gt;"Етарли"),AND(P3&lt;&gt;"",Q3&lt;&gt;"",S3&lt;&gt;""),TRUE)),"Тайёр","Тўлдирилмаган"))</x:f>
        <x:v>Тўлдирилмаган</x:v>
      </x:c>
    </x:row>
    <x:row r="4">
      <x:c r="A4" s="9" t="str">
        <x:v>D-003</x:v>
      </x:c>
      <x:c r="B4" s="9" t="str">
        <x:v>T-048</x:v>
      </x:c>
      <x:c r="C4" s="9" t="n">
        <x:v>73</x:v>
      </x:c>
      <x:c r="D4" s="9" t="str">
        <x:v>Андижон тумани</x:v>
      </x:c>
      <x:c r="E4"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4" s="9" t="str">
        <x:v>IV чорак / йил якуни</x:v>
      </x:c>
      <x:c r="G4" s="9" t="str">
        <x:v>2026 йил якуни билан</x:v>
      </x:c>
      <x:c r="H4" s="9" t="n">
        <x:v>63</x:v>
      </x:c>
      <x:c r="I4" s="9" t="n">
        <x:v>63</x:v>
      </x:c>
      <x:c r="J4" s="9" t="str">
        <x:v>та субъект</x:v>
      </x:c>
      <x:c r="K4" s="9" t="str">
        <x:v>800 та субъектлар фаолиятини тиклаш бўйича туман кесими.</x:v>
      </x:c>
      <x:c r="L4" s="17" t="str"/>
      <x:c r="M4" s="17" t="str"/>
      <x:c r="N4" s="17" t="str"/>
      <x:c r="O4" s="17" t="str"/>
      <x:c r="P4" s="17" t="str"/>
      <x:c r="Q4" s="17" t="str"/>
      <x:c r="R4" s="17" t="str"/>
      <x:c r="S4" s="19" t="str"/>
      <x:c r="T4" s="19" t="str"/>
      <x:c r="U4" s="17" t="str"/>
      <x:c r="V4" s="17" t="str"/>
      <x:c r="W4" s="18" t="str">
        <x:f>IF(COUNTA(L4:V4)=0,"",IF(AND(L4&lt;&gt;"",M4&lt;&gt;"",N4&lt;&gt;"",T4&lt;&gt;"",U4&lt;&gt;"",IF(OR(L4="Қайтарилди",L4="Рад этилди",M4="Бажарилмади",M4="Муддати кечикди",N4&lt;&gt;"Етарли"),AND(P4&lt;&gt;"",Q4&lt;&gt;"",S4&lt;&gt;""),TRUE)),"Тайёр","Тўлдирилмаган"))</x:f>
        <x:v>Тўлдирилмаган</x:v>
      </x:c>
    </x:row>
    <x:row r="5">
      <x:c r="A5" s="9" t="str">
        <x:v>D-004</x:v>
      </x:c>
      <x:c r="B5" s="9" t="str">
        <x:v>T-048</x:v>
      </x:c>
      <x:c r="C5" s="9" t="n">
        <x:v>73</x:v>
      </x:c>
      <x:c r="D5" s="9" t="str">
        <x:v>Андижон шаҳри</x:v>
      </x:c>
      <x:c r="E5"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5" s="9" t="str">
        <x:v>IV чорак / йил якуни</x:v>
      </x:c>
      <x:c r="G5" s="9" t="str">
        <x:v>2026 йил якуни билан</x:v>
      </x:c>
      <x:c r="H5" s="9" t="n">
        <x:v>209</x:v>
      </x:c>
      <x:c r="I5" s="9" t="n">
        <x:v>209</x:v>
      </x:c>
      <x:c r="J5" s="9" t="str">
        <x:v>та субъект</x:v>
      </x:c>
      <x:c r="K5" s="9" t="str">
        <x:v>800 та субъектлар фаолиятини тиклаш бўйича туман кесими.</x:v>
      </x:c>
      <x:c r="L5" s="17" t="str"/>
      <x:c r="M5" s="17" t="str"/>
      <x:c r="N5" s="17" t="str"/>
      <x:c r="O5" s="17" t="str"/>
      <x:c r="P5" s="17" t="str"/>
      <x:c r="Q5" s="17" t="str"/>
      <x:c r="R5" s="17" t="str"/>
      <x:c r="S5" s="19" t="str"/>
      <x:c r="T5" s="19" t="str"/>
      <x:c r="U5" s="17" t="str"/>
      <x:c r="V5" s="17" t="str"/>
      <x:c r="W5" s="18" t="str">
        <x:f>IF(COUNTA(L5:V5)=0,"",IF(AND(L5&lt;&gt;"",M5&lt;&gt;"",N5&lt;&gt;"",T5&lt;&gt;"",U5&lt;&gt;"",IF(OR(L5="Қайтарилди",L5="Рад этилди",M5="Бажарилмади",M5="Муддати кечикди",N5&lt;&gt;"Етарли"),AND(P5&lt;&gt;"",Q5&lt;&gt;"",S5&lt;&gt;""),TRUE)),"Тайёр","Тўлдирилмаган"))</x:f>
        <x:v>Тўлдирилмаган</x:v>
      </x:c>
    </x:row>
    <x:row r="6">
      <x:c r="A6" s="9" t="str">
        <x:v>D-005</x:v>
      </x:c>
      <x:c r="B6" s="9" t="str">
        <x:v>T-048</x:v>
      </x:c>
      <x:c r="C6" s="9" t="n">
        <x:v>73</x:v>
      </x:c>
      <x:c r="D6" s="9" t="str">
        <x:v>Асака тумани</x:v>
      </x:c>
      <x:c r="E6"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6" s="9" t="str">
        <x:v>IV чорак / йил якуни</x:v>
      </x:c>
      <x:c r="G6" s="9" t="str">
        <x:v>2026 йил якуни билан</x:v>
      </x:c>
      <x:c r="H6" s="9" t="n">
        <x:v>71</x:v>
      </x:c>
      <x:c r="I6" s="9" t="n">
        <x:v>71</x:v>
      </x:c>
      <x:c r="J6" s="9" t="str">
        <x:v>та субъект</x:v>
      </x:c>
      <x:c r="K6" s="9" t="str">
        <x:v>800 та субъектлар фаолиятини тиклаш бўйича туман кесими.</x:v>
      </x:c>
      <x:c r="L6" s="17" t="str"/>
      <x:c r="M6" s="17" t="str"/>
      <x:c r="N6" s="17" t="str"/>
      <x:c r="O6" s="17" t="str"/>
      <x:c r="P6" s="17" t="str"/>
      <x:c r="Q6" s="17" t="str"/>
      <x:c r="R6" s="17" t="str"/>
      <x:c r="S6" s="19" t="str"/>
      <x:c r="T6" s="19" t="str"/>
      <x:c r="U6" s="17" t="str"/>
      <x:c r="V6" s="17" t="str"/>
      <x:c r="W6" s="18" t="str">
        <x:f>IF(COUNTA(L6:V6)=0,"",IF(AND(L6&lt;&gt;"",M6&lt;&gt;"",N6&lt;&gt;"",T6&lt;&gt;"",U6&lt;&gt;"",IF(OR(L6="Қайтарилди",L6="Рад этилди",M6="Бажарилмади",M6="Муддати кечикди",N6&lt;&gt;"Етарли"),AND(P6&lt;&gt;"",Q6&lt;&gt;"",S6&lt;&gt;""),TRUE)),"Тайёр","Тўлдирилмаган"))</x:f>
        <x:v>Тўлдирилмаган</x:v>
      </x:c>
    </x:row>
    <x:row r="7">
      <x:c r="A7" s="9" t="str">
        <x:v>D-006</x:v>
      </x:c>
      <x:c r="B7" s="9" t="str">
        <x:v>T-048</x:v>
      </x:c>
      <x:c r="C7" s="9" t="n">
        <x:v>73</x:v>
      </x:c>
      <x:c r="D7" s="9" t="str">
        <x:v>Балиқчи тумани</x:v>
      </x:c>
      <x:c r="E7"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7" s="9" t="str">
        <x:v>IV чорак / йил якуни</x:v>
      </x:c>
      <x:c r="G7" s="9" t="str">
        <x:v>2026 йил якуни билан</x:v>
      </x:c>
      <x:c r="H7" s="9" t="n">
        <x:v>38</x:v>
      </x:c>
      <x:c r="I7" s="9" t="n">
        <x:v>38</x:v>
      </x:c>
      <x:c r="J7" s="9" t="str">
        <x:v>та субъект</x:v>
      </x:c>
      <x:c r="K7" s="9" t="str">
        <x:v>800 та субъектлар фаолиятини тиклаш бўйича туман кесими.</x:v>
      </x:c>
      <x:c r="L7" s="17" t="str"/>
      <x:c r="M7" s="17" t="str"/>
      <x:c r="N7" s="17" t="str"/>
      <x:c r="O7" s="17" t="str"/>
      <x:c r="P7" s="17" t="str"/>
      <x:c r="Q7" s="17" t="str"/>
      <x:c r="R7" s="17" t="str"/>
      <x:c r="S7" s="19" t="str"/>
      <x:c r="T7" s="19" t="str"/>
      <x:c r="U7" s="17" t="str"/>
      <x:c r="V7" s="17" t="str"/>
      <x:c r="W7" s="18" t="str">
        <x:f>IF(COUNTA(L7:V7)=0,"",IF(AND(L7&lt;&gt;"",M7&lt;&gt;"",N7&lt;&gt;"",T7&lt;&gt;"",U7&lt;&gt;"",IF(OR(L7="Қайтарилди",L7="Рад этилди",M7="Бажарилмади",M7="Муддати кечикди",N7&lt;&gt;"Етарли"),AND(P7&lt;&gt;"",Q7&lt;&gt;"",S7&lt;&gt;""),TRUE)),"Тайёр","Тўлдирилмаган"))</x:f>
        <x:v>Тўлдирилмаган</x:v>
      </x:c>
    </x:row>
    <x:row r="8">
      <x:c r="A8" s="9" t="str">
        <x:v>D-007</x:v>
      </x:c>
      <x:c r="B8" s="9" t="str">
        <x:v>T-048</x:v>
      </x:c>
      <x:c r="C8" s="9" t="n">
        <x:v>73</x:v>
      </x:c>
      <x:c r="D8" s="9" t="str">
        <x:v>Булоқбоши тумани</x:v>
      </x:c>
      <x:c r="E8"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8" s="9" t="str">
        <x:v>IV чорак / йил якуни</x:v>
      </x:c>
      <x:c r="G8" s="9" t="str">
        <x:v>2026 йил якуни билан</x:v>
      </x:c>
      <x:c r="H8" s="9" t="n">
        <x:v>27</x:v>
      </x:c>
      <x:c r="I8" s="9" t="n">
        <x:v>27</x:v>
      </x:c>
      <x:c r="J8" s="9" t="str">
        <x:v>та субъект</x:v>
      </x:c>
      <x:c r="K8" s="9" t="str">
        <x:v>800 та субъектлар фаолиятини тиклаш бўйича туман кесими.</x:v>
      </x:c>
      <x:c r="L8" s="17" t="str"/>
      <x:c r="M8" s="17" t="str"/>
      <x:c r="N8" s="17" t="str"/>
      <x:c r="O8" s="17" t="str"/>
      <x:c r="P8" s="17" t="str"/>
      <x:c r="Q8" s="17" t="str"/>
      <x:c r="R8" s="17" t="str"/>
      <x:c r="S8" s="19" t="str"/>
      <x:c r="T8" s="19" t="str"/>
      <x:c r="U8" s="17" t="str"/>
      <x:c r="V8" s="17" t="str"/>
      <x:c r="W8" s="18" t="str">
        <x:f>IF(COUNTA(L8:V8)=0,"",IF(AND(L8&lt;&gt;"",M8&lt;&gt;"",N8&lt;&gt;"",T8&lt;&gt;"",U8&lt;&gt;"",IF(OR(L8="Қайтарилди",L8="Рад этилди",M8="Бажарилмади",M8="Муддати кечикди",N8&lt;&gt;"Етарли"),AND(P8&lt;&gt;"",Q8&lt;&gt;"",S8&lt;&gt;""),TRUE)),"Тайёр","Тўлдирилмаган"))</x:f>
        <x:v>Тўлдирилмаган</x:v>
      </x:c>
    </x:row>
    <x:row r="9">
      <x:c r="A9" s="9" t="str">
        <x:v>D-008</x:v>
      </x:c>
      <x:c r="B9" s="9" t="str">
        <x:v>T-048</x:v>
      </x:c>
      <x:c r="C9" s="9" t="n">
        <x:v>73</x:v>
      </x:c>
      <x:c r="D9" s="9" t="str">
        <x:v>Бўстон тумани</x:v>
      </x:c>
      <x:c r="E9"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9" s="9" t="str">
        <x:v>IV чорак / йил якуни</x:v>
      </x:c>
      <x:c r="G9" s="9" t="str">
        <x:v>2026 йил якуни билан</x:v>
      </x:c>
      <x:c r="H9" s="9" t="n">
        <x:v>26</x:v>
      </x:c>
      <x:c r="I9" s="9" t="n">
        <x:v>26</x:v>
      </x:c>
      <x:c r="J9" s="9" t="str">
        <x:v>та субъект</x:v>
      </x:c>
      <x:c r="K9" s="9" t="str">
        <x:v>800 та субъектлар фаолиятини тиклаш бўйича туман кесими.</x:v>
      </x:c>
      <x:c r="L9" s="17" t="str"/>
      <x:c r="M9" s="17" t="str"/>
      <x:c r="N9" s="17" t="str"/>
      <x:c r="O9" s="17" t="str"/>
      <x:c r="P9" s="17" t="str"/>
      <x:c r="Q9" s="17" t="str"/>
      <x:c r="R9" s="17" t="str"/>
      <x:c r="S9" s="19" t="str"/>
      <x:c r="T9" s="19" t="str"/>
      <x:c r="U9" s="17" t="str"/>
      <x:c r="V9" s="17" t="str"/>
      <x:c r="W9" s="18" t="str">
        <x:f>IF(COUNTA(L9:V9)=0,"",IF(AND(L9&lt;&gt;"",M9&lt;&gt;"",N9&lt;&gt;"",T9&lt;&gt;"",U9&lt;&gt;"",IF(OR(L9="Қайтарилди",L9="Рад этилди",M9="Бажарилмади",M9="Муддати кечикди",N9&lt;&gt;"Етарли"),AND(P9&lt;&gt;"",Q9&lt;&gt;"",S9&lt;&gt;""),TRUE)),"Тайёр","Тўлдирилмаган"))</x:f>
        <x:v>Тўлдирилмаган</x:v>
      </x:c>
    </x:row>
    <x:row r="10">
      <x:c r="A10" s="9" t="str">
        <x:v>D-009</x:v>
      </x:c>
      <x:c r="B10" s="9" t="str">
        <x:v>T-048</x:v>
      </x:c>
      <x:c r="C10" s="9" t="n">
        <x:v>73</x:v>
      </x:c>
      <x:c r="D10" s="9" t="str">
        <x:v>Жалақудуқ тумани</x:v>
      </x:c>
      <x:c r="E10"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0" s="9" t="str">
        <x:v>IV чорак / йил якуни</x:v>
      </x:c>
      <x:c r="G10" s="9" t="str">
        <x:v>2026 йил якуни билан</x:v>
      </x:c>
      <x:c r="H10" s="9" t="n">
        <x:v>31</x:v>
      </x:c>
      <x:c r="I10" s="9" t="n">
        <x:v>31</x:v>
      </x:c>
      <x:c r="J10" s="9" t="str">
        <x:v>та субъект</x:v>
      </x:c>
      <x:c r="K10" s="9" t="str">
        <x:v>800 та субъектлар фаолиятини тиклаш бўйича туман кесими.</x:v>
      </x:c>
      <x:c r="L10" s="17" t="str"/>
      <x:c r="M10" s="17" t="str"/>
      <x:c r="N10" s="17" t="str"/>
      <x:c r="O10" s="17" t="str"/>
      <x:c r="P10" s="17" t="str"/>
      <x:c r="Q10" s="17" t="str"/>
      <x:c r="R10" s="17" t="str"/>
      <x:c r="S10" s="19" t="str"/>
      <x:c r="T10" s="19" t="str"/>
      <x:c r="U10" s="17" t="str"/>
      <x:c r="V10" s="17" t="str"/>
      <x:c r="W10" s="18" t="str">
        <x:f>IF(COUNTA(L10:V10)=0,"",IF(AND(L10&lt;&gt;"",M10&lt;&gt;"",N10&lt;&gt;"",T10&lt;&gt;"",U10&lt;&gt;"",IF(OR(L10="Қайтарилди",L10="Рад этилди",M10="Бажарилмади",M10="Муддати кечикди",N10&lt;&gt;"Етарли"),AND(P10&lt;&gt;"",Q10&lt;&gt;"",S10&lt;&gt;""),TRUE)),"Тайёр","Тўлдирилмаган"))</x:f>
        <x:v>Тўлдирилмаган</x:v>
      </x:c>
    </x:row>
    <x:row r="11">
      <x:c r="A11" s="9" t="str">
        <x:v>D-010</x:v>
      </x:c>
      <x:c r="B11" s="9" t="str">
        <x:v>T-048</x:v>
      </x:c>
      <x:c r="C11" s="9" t="n">
        <x:v>73</x:v>
      </x:c>
      <x:c r="D11" s="9" t="str">
        <x:v>Избоскан тумани</x:v>
      </x:c>
      <x:c r="E11"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1" s="9" t="str">
        <x:v>IV чорак / йил якуни</x:v>
      </x:c>
      <x:c r="G11" s="9" t="str">
        <x:v>2026 йил якуни билан</x:v>
      </x:c>
      <x:c r="H11" s="9" t="n">
        <x:v>46</x:v>
      </x:c>
      <x:c r="I11" s="9" t="n">
        <x:v>46</x:v>
      </x:c>
      <x:c r="J11" s="9" t="str">
        <x:v>та субъект</x:v>
      </x:c>
      <x:c r="K11" s="9" t="str">
        <x:v>800 та субъектлар фаолиятини тиклаш бўйича туман кесими.</x:v>
      </x:c>
      <x:c r="L11" s="17" t="str"/>
      <x:c r="M11" s="17" t="str"/>
      <x:c r="N11" s="17" t="str"/>
      <x:c r="O11" s="17" t="str"/>
      <x:c r="P11" s="17" t="str"/>
      <x:c r="Q11" s="17" t="str"/>
      <x:c r="R11" s="17" t="str"/>
      <x:c r="S11" s="19" t="str"/>
      <x:c r="T11" s="19" t="str"/>
      <x:c r="U11" s="17" t="str"/>
      <x:c r="V11" s="17" t="str"/>
      <x:c r="W11" s="18" t="str">
        <x:f>IF(COUNTA(L11:V11)=0,"",IF(AND(L11&lt;&gt;"",M11&lt;&gt;"",N11&lt;&gt;"",T11&lt;&gt;"",U11&lt;&gt;"",IF(OR(L11="Қайтарилди",L11="Рад этилди",M11="Бажарилмади",M11="Муддати кечикди",N11&lt;&gt;"Етарли"),AND(P11&lt;&gt;"",Q11&lt;&gt;"",S11&lt;&gt;""),TRUE)),"Тайёр","Тўлдирилмаган"))</x:f>
        <x:v>Тўлдирилмаган</x:v>
      </x:c>
    </x:row>
    <x:row r="12">
      <x:c r="A12" s="9" t="str">
        <x:v>D-011</x:v>
      </x:c>
      <x:c r="B12" s="9" t="str">
        <x:v>T-048</x:v>
      </x:c>
      <x:c r="C12" s="9" t="n">
        <x:v>73</x:v>
      </x:c>
      <x:c r="D12" s="9" t="str">
        <x:v>Марҳамат тумани</x:v>
      </x:c>
      <x:c r="E12"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2" s="9" t="str">
        <x:v>IV чорак / йил якуни</x:v>
      </x:c>
      <x:c r="G12" s="9" t="str">
        <x:v>2026 йил якуни билан</x:v>
      </x:c>
      <x:c r="H12" s="9" t="n">
        <x:v>34</x:v>
      </x:c>
      <x:c r="I12" s="9" t="n">
        <x:v>34</x:v>
      </x:c>
      <x:c r="J12" s="9" t="str">
        <x:v>та субъект</x:v>
      </x:c>
      <x:c r="K12" s="9" t="str">
        <x:v>800 та субъектлар фаолиятини тиклаш бўйича туман кесими.</x:v>
      </x:c>
      <x:c r="L12" s="17" t="str"/>
      <x:c r="M12" s="17" t="str"/>
      <x:c r="N12" s="17" t="str"/>
      <x:c r="O12" s="17" t="str"/>
      <x:c r="P12" s="17" t="str"/>
      <x:c r="Q12" s="17" t="str"/>
      <x:c r="R12" s="17" t="str"/>
      <x:c r="S12" s="19" t="str"/>
      <x:c r="T12" s="19" t="str"/>
      <x:c r="U12" s="17" t="str"/>
      <x:c r="V12" s="17" t="str"/>
      <x:c r="W12" s="18" t="str">
        <x:f>IF(COUNTA(L12:V12)=0,"",IF(AND(L12&lt;&gt;"",M12&lt;&gt;"",N12&lt;&gt;"",T12&lt;&gt;"",U12&lt;&gt;"",IF(OR(L12="Қайтарилди",L12="Рад этилди",M12="Бажарилмади",M12="Муддати кечикди",N12&lt;&gt;"Етарли"),AND(P12&lt;&gt;"",Q12&lt;&gt;"",S12&lt;&gt;""),TRUE)),"Тайёр","Тўлдирилмаган"))</x:f>
        <x:v>Тўлдирилмаган</x:v>
      </x:c>
    </x:row>
    <x:row r="13">
      <x:c r="A13" s="9" t="str">
        <x:v>D-012</x:v>
      </x:c>
      <x:c r="B13" s="9" t="str">
        <x:v>T-048</x:v>
      </x:c>
      <x:c r="C13" s="9" t="n">
        <x:v>73</x:v>
      </x:c>
      <x:c r="D13" s="9" t="str">
        <x:v>Олтинкўл тумани</x:v>
      </x:c>
      <x:c r="E13"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3" s="9" t="str">
        <x:v>IV чорак / йил якуни</x:v>
      </x:c>
      <x:c r="G13" s="9" t="str">
        <x:v>2026 йил якуни билан</x:v>
      </x:c>
      <x:c r="H13" s="9" t="n">
        <x:v>40</x:v>
      </x:c>
      <x:c r="I13" s="9" t="n">
        <x:v>40</x:v>
      </x:c>
      <x:c r="J13" s="9" t="str">
        <x:v>та субъект</x:v>
      </x:c>
      <x:c r="K13" s="9" t="str">
        <x:v>800 та субъектлар фаолиятини тиклаш бўйича туман кесими.</x:v>
      </x:c>
      <x:c r="L13" s="17" t="str"/>
      <x:c r="M13" s="17" t="str"/>
      <x:c r="N13" s="17" t="str"/>
      <x:c r="O13" s="17" t="str"/>
      <x:c r="P13" s="17" t="str"/>
      <x:c r="Q13" s="17" t="str"/>
      <x:c r="R13" s="17" t="str"/>
      <x:c r="S13" s="19" t="str"/>
      <x:c r="T13" s="19" t="str"/>
      <x:c r="U13" s="17" t="str"/>
      <x:c r="V13" s="17" t="str"/>
      <x:c r="W13" s="18" t="str">
        <x:f>IF(COUNTA(L13:V13)=0,"",IF(AND(L13&lt;&gt;"",M13&lt;&gt;"",N13&lt;&gt;"",T13&lt;&gt;"",U13&lt;&gt;"",IF(OR(L13="Қайтарилди",L13="Рад этилди",M13="Бажарилмади",M13="Муддати кечикди",N13&lt;&gt;"Етарли"),AND(P13&lt;&gt;"",Q13&lt;&gt;"",S13&lt;&gt;""),TRUE)),"Тайёр","Тўлдирилмаган"))</x:f>
        <x:v>Тўлдирилмаган</x:v>
      </x:c>
    </x:row>
    <x:row r="14">
      <x:c r="A14" s="9" t="str">
        <x:v>D-013</x:v>
      </x:c>
      <x:c r="B14" s="9" t="str">
        <x:v>T-048</x:v>
      </x:c>
      <x:c r="C14" s="9" t="n">
        <x:v>73</x:v>
      </x:c>
      <x:c r="D14" s="9" t="str">
        <x:v>Пахтаобод тумани</x:v>
      </x:c>
      <x:c r="E14"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4" s="9" t="str">
        <x:v>IV чорак / йил якуни</x:v>
      </x:c>
      <x:c r="G14" s="9" t="str">
        <x:v>2026 йил якуни билан</x:v>
      </x:c>
      <x:c r="H14" s="9" t="n">
        <x:v>36</x:v>
      </x:c>
      <x:c r="I14" s="9" t="n">
        <x:v>36</x:v>
      </x:c>
      <x:c r="J14" s="9" t="str">
        <x:v>та субъект</x:v>
      </x:c>
      <x:c r="K14" s="9" t="str">
        <x:v>800 та субъектлар фаолиятини тиклаш бўйича туман кесими.</x:v>
      </x:c>
      <x:c r="L14" s="17" t="str"/>
      <x:c r="M14" s="17" t="str"/>
      <x:c r="N14" s="17" t="str"/>
      <x:c r="O14" s="17" t="str"/>
      <x:c r="P14" s="17" t="str"/>
      <x:c r="Q14" s="17" t="str"/>
      <x:c r="R14" s="17" t="str"/>
      <x:c r="S14" s="19" t="str"/>
      <x:c r="T14" s="19" t="str"/>
      <x:c r="U14" s="17" t="str"/>
      <x:c r="V14" s="17" t="str"/>
      <x:c r="W14" s="18" t="str">
        <x:f>IF(COUNTA(L14:V14)=0,"",IF(AND(L14&lt;&gt;"",M14&lt;&gt;"",N14&lt;&gt;"",T14&lt;&gt;"",U14&lt;&gt;"",IF(OR(L14="Қайтарилди",L14="Рад этилди",M14="Бажарилмади",M14="Муддати кечикди",N14&lt;&gt;"Етарли"),AND(P14&lt;&gt;"",Q14&lt;&gt;"",S14&lt;&gt;""),TRUE)),"Тайёр","Тўлдирилмаган"))</x:f>
        <x:v>Тўлдирилмаган</x:v>
      </x:c>
    </x:row>
    <x:row r="15">
      <x:c r="A15" s="9" t="str">
        <x:v>D-014</x:v>
      </x:c>
      <x:c r="B15" s="9" t="str">
        <x:v>T-048</x:v>
      </x:c>
      <x:c r="C15" s="9" t="n">
        <x:v>73</x:v>
      </x:c>
      <x:c r="D15" s="9" t="str">
        <x:v>Улуғнор тумани</x:v>
      </x:c>
      <x:c r="E15"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5" s="9" t="str">
        <x:v>IV чорак / йил якуни</x:v>
      </x:c>
      <x:c r="G15" s="9" t="str">
        <x:v>2026 йил якуни билан</x:v>
      </x:c>
      <x:c r="H15" s="9" t="n">
        <x:v>22</x:v>
      </x:c>
      <x:c r="I15" s="9" t="n">
        <x:v>22</x:v>
      </x:c>
      <x:c r="J15" s="9" t="str">
        <x:v>та субъект</x:v>
      </x:c>
      <x:c r="K15" s="9" t="str">
        <x:v>800 та субъектлар фаолиятини тиклаш бўйича туман кесими.</x:v>
      </x:c>
      <x:c r="L15" s="17" t="str"/>
      <x:c r="M15" s="17" t="str"/>
      <x:c r="N15" s="17" t="str"/>
      <x:c r="O15" s="17" t="str"/>
      <x:c r="P15" s="17" t="str"/>
      <x:c r="Q15" s="17" t="str"/>
      <x:c r="R15" s="17" t="str"/>
      <x:c r="S15" s="19" t="str"/>
      <x:c r="T15" s="19" t="str"/>
      <x:c r="U15" s="17" t="str"/>
      <x:c r="V15" s="17" t="str"/>
      <x:c r="W15" s="18" t="str">
        <x:f>IF(COUNTA(L15:V15)=0,"",IF(AND(L15&lt;&gt;"",M15&lt;&gt;"",N15&lt;&gt;"",T15&lt;&gt;"",U15&lt;&gt;"",IF(OR(L15="Қайтарилди",L15="Рад этилди",M15="Бажарилмади",M15="Муддати кечикди",N15&lt;&gt;"Етарли"),AND(P15&lt;&gt;"",Q15&lt;&gt;"",S15&lt;&gt;""),TRUE)),"Тайёр","Тўлдирилмаган"))</x:f>
        <x:v>Тўлдирилмаган</x:v>
      </x:c>
    </x:row>
    <x:row r="16">
      <x:c r="A16" s="9" t="str">
        <x:v>D-015</x:v>
      </x:c>
      <x:c r="B16" s="9" t="str">
        <x:v>T-048</x:v>
      </x:c>
      <x:c r="C16" s="9" t="n">
        <x:v>73</x:v>
      </x:c>
      <x:c r="D16" s="9" t="str">
        <x:v>Хонобод шаҳри</x:v>
      </x:c>
      <x:c r="E16"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6" s="9" t="str">
        <x:v>IV чорак / йил якуни</x:v>
      </x:c>
      <x:c r="G16" s="9" t="str">
        <x:v>2026 йил якуни билан</x:v>
      </x:c>
      <x:c r="H16" s="9" t="n">
        <x:v>13</x:v>
      </x:c>
      <x:c r="I16" s="9" t="n">
        <x:v>13</x:v>
      </x:c>
      <x:c r="J16" s="9" t="str">
        <x:v>та субъект</x:v>
      </x:c>
      <x:c r="K16" s="9" t="str">
        <x:v>800 та субъектлар фаолиятини тиклаш бўйича туман кесими.</x:v>
      </x:c>
      <x:c r="L16" s="17" t="str"/>
      <x:c r="M16" s="17" t="str"/>
      <x:c r="N16" s="17" t="str"/>
      <x:c r="O16" s="17" t="str"/>
      <x:c r="P16" s="17" t="str"/>
      <x:c r="Q16" s="17" t="str"/>
      <x:c r="R16" s="17" t="str"/>
      <x:c r="S16" s="19" t="str"/>
      <x:c r="T16" s="19" t="str"/>
      <x:c r="U16" s="17" t="str"/>
      <x:c r="V16" s="17" t="str"/>
      <x:c r="W16" s="18" t="str">
        <x:f>IF(COUNTA(L16:V16)=0,"",IF(AND(L16&lt;&gt;"",M16&lt;&gt;"",N16&lt;&gt;"",T16&lt;&gt;"",U16&lt;&gt;"",IF(OR(L16="Қайтарилди",L16="Рад этилди",M16="Бажарилмади",M16="Муддати кечикди",N16&lt;&gt;"Етарли"),AND(P16&lt;&gt;"",Q16&lt;&gt;"",S16&lt;&gt;""),TRUE)),"Тайёр","Тўлдирилмаган"))</x:f>
        <x:v>Тўлдирилмаган</x:v>
      </x:c>
    </x:row>
    <x:row r="17">
      <x:c r="A17" s="9" t="str">
        <x:v>D-016</x:v>
      </x:c>
      <x:c r="B17" s="9" t="str">
        <x:v>T-048</x:v>
      </x:c>
      <x:c r="C17" s="9" t="n">
        <x:v>73</x:v>
      </x:c>
      <x:c r="D17" s="9" t="str">
        <x:v>Хўжаобод тумани</x:v>
      </x:c>
      <x:c r="E17"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7" s="9" t="str">
        <x:v>IV чорак / йил якуни</x:v>
      </x:c>
      <x:c r="G17" s="9" t="str">
        <x:v>2026 йил якуни билан</x:v>
      </x:c>
      <x:c r="H17" s="9" t="n">
        <x:v>44</x:v>
      </x:c>
      <x:c r="I17" s="9" t="n">
        <x:v>44</x:v>
      </x:c>
      <x:c r="J17" s="9" t="str">
        <x:v>та субъект</x:v>
      </x:c>
      <x:c r="K17" s="9" t="str">
        <x:v>800 та субъектлар фаолиятини тиклаш бўйича туман кесими.</x:v>
      </x:c>
      <x:c r="L17" s="17" t="str"/>
      <x:c r="M17" s="17" t="str"/>
      <x:c r="N17" s="17" t="str"/>
      <x:c r="O17" s="17" t="str"/>
      <x:c r="P17" s="17" t="str"/>
      <x:c r="Q17" s="17" t="str"/>
      <x:c r="R17" s="17" t="str"/>
      <x:c r="S17" s="19" t="str"/>
      <x:c r="T17" s="19" t="str"/>
      <x:c r="U17" s="17" t="str"/>
      <x:c r="V17" s="17" t="str"/>
      <x:c r="W17" s="18" t="str">
        <x:f>IF(COUNTA(L17:V17)=0,"",IF(AND(L17&lt;&gt;"",M17&lt;&gt;"",N17&lt;&gt;"",T17&lt;&gt;"",U17&lt;&gt;"",IF(OR(L17="Қайтарилди",L17="Рад этилди",M17="Бажарилмади",M17="Муддати кечикди",N17&lt;&gt;"Етарли"),AND(P17&lt;&gt;"",Q17&lt;&gt;"",S17&lt;&gt;""),TRUE)),"Тайёр","Тўлдирилмаган"))</x:f>
        <x:v>Тўлдирилмаган</x:v>
      </x:c>
    </x:row>
    <x:row r="18">
      <x:c r="A18" s="9" t="str">
        <x:v>D-017</x:v>
      </x:c>
      <x:c r="B18" s="9" t="str">
        <x:v>T-048</x:v>
      </x:c>
      <x:c r="C18" s="9" t="n">
        <x:v>73</x:v>
      </x:c>
      <x:c r="D18" s="9" t="str">
        <x:v>Шаҳрихон тумани</x:v>
      </x:c>
      <x:c r="E18"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8" s="9" t="str">
        <x:v>IV чорак / йил якуни</x:v>
      </x:c>
      <x:c r="G18" s="9" t="str">
        <x:v>2026 йил якуни билан</x:v>
      </x:c>
      <x:c r="H18" s="9" t="n">
        <x:v>50</x:v>
      </x:c>
      <x:c r="I18" s="9" t="n">
        <x:v>50</x:v>
      </x:c>
      <x:c r="J18" s="9" t="str">
        <x:v>та субъект</x:v>
      </x:c>
      <x:c r="K18" s="9" t="str">
        <x:v>800 та субъектлар фаолиятини тиклаш бўйича туман кесими.</x:v>
      </x:c>
      <x:c r="L18" s="17" t="str"/>
      <x:c r="M18" s="17" t="str"/>
      <x:c r="N18" s="17" t="str"/>
      <x:c r="O18" s="17" t="str"/>
      <x:c r="P18" s="17" t="str"/>
      <x:c r="Q18" s="17" t="str"/>
      <x:c r="R18" s="17" t="str"/>
      <x:c r="S18" s="19" t="str"/>
      <x:c r="T18" s="19" t="str"/>
      <x:c r="U18" s="17" t="str"/>
      <x:c r="V18" s="17" t="str"/>
      <x:c r="W18" s="18" t="str">
        <x:f>IF(COUNTA(L18:V18)=0,"",IF(AND(L18&lt;&gt;"",M18&lt;&gt;"",N18&lt;&gt;"",T18&lt;&gt;"",U18&lt;&gt;"",IF(OR(L18="Қайтарилди",L18="Рад этилди",M18="Бажарилмади",M18="Муддати кечикди",N18&lt;&gt;"Етарли"),AND(P18&lt;&gt;"",Q18&lt;&gt;"",S18&lt;&gt;""),TRUE)),"Тайёр","Тўлдирилмаган"))</x:f>
        <x:v>Тўлдирилмаган</x:v>
      </x:c>
    </x:row>
    <x:row r="19">
      <x:c r="A19" s="9" t="str">
        <x:v>D-018</x:v>
      </x:c>
      <x:c r="B19" s="9" t="str">
        <x:v>T-048</x:v>
      </x:c>
      <x:c r="C19" s="9" t="n">
        <x:v>73</x:v>
      </x:c>
      <x:c r="D19" s="9" t="str">
        <x:v>Қўрғонтепа тумани</x:v>
      </x:c>
      <x:c r="E19"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F19" s="9" t="str">
        <x:v>IV чорак / йил якуни</x:v>
      </x:c>
      <x:c r="G19" s="9" t="str">
        <x:v>2026 йил якуни билан</x:v>
      </x:c>
      <x:c r="H19" s="9" t="n">
        <x:v>50</x:v>
      </x:c>
      <x:c r="I19" s="9" t="n">
        <x:v>50</x:v>
      </x:c>
      <x:c r="J19" s="9" t="str">
        <x:v>та субъект</x:v>
      </x:c>
      <x:c r="K19" s="9" t="str">
        <x:v>800 та субъектлар фаолиятини тиклаш бўйича туман кесими.</x:v>
      </x:c>
      <x:c r="L19" s="17" t="str"/>
      <x:c r="M19" s="17" t="str"/>
      <x:c r="N19" s="17" t="str"/>
      <x:c r="O19" s="17" t="str"/>
      <x:c r="P19" s="17" t="str"/>
      <x:c r="Q19" s="17" t="str"/>
      <x:c r="R19" s="17" t="str"/>
      <x:c r="S19" s="19" t="str"/>
      <x:c r="T19" s="19" t="str"/>
      <x:c r="U19" s="17" t="str"/>
      <x:c r="V19" s="17" t="str"/>
      <x:c r="W19" s="18" t="str">
        <x:f>IF(COUNTA(L19:V19)=0,"",IF(AND(L19&lt;&gt;"",M19&lt;&gt;"",N19&lt;&gt;"",T19&lt;&gt;"",U19&lt;&gt;"",IF(OR(L19="Қайтарилди",L19="Рад этилди",M19="Бажарилмади",M19="Муддати кечикди",N19&lt;&gt;"Етарли"),AND(P19&lt;&gt;"",Q19&lt;&gt;"",S19&lt;&gt;""),TRUE)),"Тайёр","Тўлдирилмаган"))</x:f>
        <x:v>Тўлдирилмаган</x:v>
      </x:c>
    </x:row>
    <x:row r="20">
      <x:c r="A20" s="9" t="str">
        <x:v>D-019</x:v>
      </x:c>
      <x:c r="B20" s="9" t="str">
        <x:v>T-049</x:v>
      </x:c>
      <x:c r="C20" s="9" t="n">
        <x:v>78</x:v>
      </x:c>
      <x:c r="D20" s="9" t="str">
        <x:v>Бўстон тумани</x:v>
      </x:c>
      <x:c r="E20"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20" s="9" t="str">
        <x:v>II чорак / I ярим йиллик</x:v>
      </x:c>
      <x:c r="G20" s="9" t="str">
        <x:v>2026 йил I ярим йиллик</x:v>
      </x:c>
      <x:c r="H20" s="9" t="n">
        <x:v>7</x:v>
      </x:c>
      <x:c r="I20" s="9" t="n">
        <x:v>10</x:v>
      </x:c>
      <x:c r="J20" s="9" t="str">
        <x:v>та маҳалла</x:v>
      </x:c>
      <x:c r="K20" s="9" t="str">
        <x:v>Оғир туманларда маҳаллаларни камбағаллик ва ишсизликдан холи ҳудудга айлантириш.</x:v>
      </x:c>
      <x:c r="L20" s="17" t="str"/>
      <x:c r="M20" s="17" t="str"/>
      <x:c r="N20" s="17" t="str"/>
      <x:c r="O20" s="17" t="str"/>
      <x:c r="P20" s="17" t="str"/>
      <x:c r="Q20" s="17" t="str"/>
      <x:c r="R20" s="17" t="str"/>
      <x:c r="S20" s="19" t="str"/>
      <x:c r="T20" s="19" t="str"/>
      <x:c r="U20" s="17" t="str"/>
      <x:c r="V20" s="17" t="str"/>
      <x:c r="W20" s="18" t="str">
        <x:f>IF(COUNTA(L20:V20)=0,"",IF(AND(L20&lt;&gt;"",M20&lt;&gt;"",N20&lt;&gt;"",T20&lt;&gt;"",U20&lt;&gt;"",IF(OR(L20="Қайтарилди",L20="Рад этилди",M20="Бажарилмади",M20="Муддати кечикди",N20&lt;&gt;"Етарли"),AND(P20&lt;&gt;"",Q20&lt;&gt;"",S20&lt;&gt;""),TRUE)),"Тайёр","Тўлдирилмаган"))</x:f>
        <x:v>Тўлдирилмаган</x:v>
      </x:c>
    </x:row>
    <x:row r="21">
      <x:c r="A21" s="9" t="str">
        <x:v>D-020</x:v>
      </x:c>
      <x:c r="B21" s="9" t="str">
        <x:v>T-049</x:v>
      </x:c>
      <x:c r="C21" s="9" t="n">
        <x:v>78</x:v>
      </x:c>
      <x:c r="D21" s="9" t="str">
        <x:v>Пахтаобод тумани</x:v>
      </x:c>
      <x:c r="E21"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21" s="9" t="str">
        <x:v>II чорак / I ярим йиллик</x:v>
      </x:c>
      <x:c r="G21" s="9" t="str">
        <x:v>2026 йил I ярим йиллик</x:v>
      </x:c>
      <x:c r="H21" s="9" t="n">
        <x:v>7</x:v>
      </x:c>
      <x:c r="I21" s="9" t="n">
        <x:v>17</x:v>
      </x:c>
      <x:c r="J21" s="9" t="str">
        <x:v>та маҳалла</x:v>
      </x:c>
      <x:c r="K21" s="9" t="str">
        <x:v>Оғир туманларда маҳаллаларни камбағаллик ва ишсизликдан холи ҳудудга айлантириш.</x:v>
      </x:c>
      <x:c r="L21" s="17" t="str"/>
      <x:c r="M21" s="17" t="str"/>
      <x:c r="N21" s="17" t="str"/>
      <x:c r="O21" s="17" t="str"/>
      <x:c r="P21" s="17" t="str"/>
      <x:c r="Q21" s="17" t="str"/>
      <x:c r="R21" s="17" t="str"/>
      <x:c r="S21" s="19" t="str"/>
      <x:c r="T21" s="19" t="str"/>
      <x:c r="U21" s="17" t="str"/>
      <x:c r="V21" s="17" t="str"/>
      <x:c r="W21" s="18" t="str">
        <x:f>IF(COUNTA(L21:V21)=0,"",IF(AND(L21&lt;&gt;"",M21&lt;&gt;"",N21&lt;&gt;"",T21&lt;&gt;"",U21&lt;&gt;"",IF(OR(L21="Қайтарилди",L21="Рад этилди",M21="Бажарилмади",M21="Муддати кечикди",N21&lt;&gt;"Етарли"),AND(P21&lt;&gt;"",Q21&lt;&gt;"",S21&lt;&gt;""),TRUE)),"Тайёр","Тўлдирилмаган"))</x:f>
        <x:v>Тўлдирилмаган</x:v>
      </x:c>
    </x:row>
    <x:row r="22">
      <x:c r="A22" s="9" t="str">
        <x:v>D-021</x:v>
      </x:c>
      <x:c r="B22" s="9" t="str">
        <x:v>T-049</x:v>
      </x:c>
      <x:c r="C22" s="9" t="n">
        <x:v>78</x:v>
      </x:c>
      <x:c r="D22" s="9" t="str">
        <x:v>Улуғнор тумани</x:v>
      </x:c>
      <x:c r="E22"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F22" s="9" t="str">
        <x:v>II чорак / I ярим йиллик</x:v>
      </x:c>
      <x:c r="G22" s="9" t="str">
        <x:v>2026 йил I ярим йиллик</x:v>
      </x:c>
      <x:c r="H22" s="9" t="n">
        <x:v>4</x:v>
      </x:c>
      <x:c r="I22" s="9" t="n">
        <x:v>10</x:v>
      </x:c>
      <x:c r="J22" s="9" t="str">
        <x:v>та маҳалла</x:v>
      </x:c>
      <x:c r="K22" s="9" t="str">
        <x:v>Оғир туманларда маҳаллаларни камбағаллик ва ишсизликдан холи ҳудудга айлантириш.</x:v>
      </x:c>
      <x:c r="L22" s="17" t="str"/>
      <x:c r="M22" s="17" t="str"/>
      <x:c r="N22" s="17" t="str"/>
      <x:c r="O22" s="17" t="str"/>
      <x:c r="P22" s="17" t="str"/>
      <x:c r="Q22" s="17" t="str"/>
      <x:c r="R22" s="17" t="str"/>
      <x:c r="S22" s="19" t="str"/>
      <x:c r="T22" s="19" t="str"/>
      <x:c r="U22" s="17" t="str"/>
      <x:c r="V22" s="17" t="str"/>
      <x:c r="W22" s="18" t="str">
        <x:f>IF(COUNTA(L22:V22)=0,"",IF(AND(L22&lt;&gt;"",M22&lt;&gt;"",N22&lt;&gt;"",T22&lt;&gt;"",U22&lt;&gt;"",IF(OR(L22="Қайтарилди",L22="Рад этилди",M22="Бажарилмади",M22="Муддати кечикди",N22&lt;&gt;"Етарли"),AND(P22&lt;&gt;"",Q22&lt;&gt;"",S22&lt;&gt;""),TRUE)),"Тайёр","Тўлдирилмаган"))</x:f>
        <x:v>Тўлдирилмаган</x:v>
      </x:c>
    </x:row>
    <x:row r="23">
      <x:c r="A23" s="9" t="str">
        <x:v>D-022</x:v>
      </x:c>
      <x:c r="B23" s="9" t="str">
        <x:v>T-051</x:v>
      </x:c>
      <x:c r="C23" s="9" t="n">
        <x:v>81</x:v>
      </x:c>
      <x:c r="D23" s="9" t="str">
        <x:v>Асака тумани</x:v>
      </x:c>
      <x:c r="E23"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3" s="9" t="str">
        <x:v>II чорак / I ярим йиллик</x:v>
      </x:c>
      <x:c r="G23" s="9" t="str">
        <x:v>2026 йил I ярим йиллик</x:v>
      </x:c>
      <x:c r="H23" s="9" t="str"/>
      <x:c r="I23" s="9" t="str"/>
      <x:c r="J23" s="9" t="str"/>
      <x:c r="K23" s="9" t="str">
        <x:v>Туман/шаҳар ижрочи ёки матнда кўрсатилган, лекин алоҳида рақамли мақсад ажратилмаган.</x:v>
      </x:c>
      <x:c r="L23" s="17" t="str"/>
      <x:c r="M23" s="17" t="str"/>
      <x:c r="N23" s="17" t="str"/>
      <x:c r="O23" s="17" t="str"/>
      <x:c r="P23" s="17" t="str"/>
      <x:c r="Q23" s="17" t="str"/>
      <x:c r="R23" s="17" t="str"/>
      <x:c r="S23" s="19" t="str"/>
      <x:c r="T23" s="19" t="str"/>
      <x:c r="U23" s="17" t="str"/>
      <x:c r="V23" s="17" t="str"/>
      <x:c r="W23" s="18" t="str">
        <x:f>IF(COUNTA(L23:V23)=0,"",IF(AND(L23&lt;&gt;"",M23&lt;&gt;"",N23&lt;&gt;"",T23&lt;&gt;"",U23&lt;&gt;"",IF(OR(L23="Қайтарилди",L23="Рад этилди",M23="Бажарилмади",M23="Муддати кечикди",N23&lt;&gt;"Етарли"),AND(P23&lt;&gt;"",Q23&lt;&gt;"",S23&lt;&gt;""),TRUE)),"Тайёр","Тўлдирилмаган"))</x:f>
        <x:v>Тўлдирилмаган</x:v>
      </x:c>
    </x:row>
    <x:row r="24">
      <x:c r="A24" s="9" t="str">
        <x:v>D-023</x:v>
      </x:c>
      <x:c r="B24" s="9" t="str">
        <x:v>T-051</x:v>
      </x:c>
      <x:c r="C24" s="9" t="n">
        <x:v>81</x:v>
      </x:c>
      <x:c r="D24" s="9" t="str">
        <x:v>Бўстон тумани</x:v>
      </x:c>
      <x:c r="E24"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4" s="9" t="str">
        <x:v>II чорак / I ярим йиллик</x:v>
      </x:c>
      <x:c r="G24" s="9" t="str">
        <x:v>2026 йил I ярим йиллик</x:v>
      </x:c>
      <x:c r="H24" s="9" t="str"/>
      <x:c r="I24" s="9" t="str"/>
      <x:c r="J24" s="9" t="str"/>
      <x:c r="K24" s="9" t="str">
        <x:v>Туман/шаҳар ижрочи ёки матнда кўрсатилган, лекин алоҳида рақамли мақсад ажратилмаган.</x:v>
      </x:c>
      <x:c r="L24" s="17" t="str"/>
      <x:c r="M24" s="17" t="str"/>
      <x:c r="N24" s="17" t="str"/>
      <x:c r="O24" s="17" t="str"/>
      <x:c r="P24" s="17" t="str"/>
      <x:c r="Q24" s="17" t="str"/>
      <x:c r="R24" s="17" t="str"/>
      <x:c r="S24" s="19" t="str"/>
      <x:c r="T24" s="19" t="str"/>
      <x:c r="U24" s="17" t="str"/>
      <x:c r="V24" s="17" t="str"/>
      <x:c r="W24" s="18" t="str">
        <x:f>IF(COUNTA(L24:V24)=0,"",IF(AND(L24&lt;&gt;"",M24&lt;&gt;"",N24&lt;&gt;"",T24&lt;&gt;"",U24&lt;&gt;"",IF(OR(L24="Қайтарилди",L24="Рад этилди",M24="Бажарилмади",M24="Муддати кечикди",N24&lt;&gt;"Етарли"),AND(P24&lt;&gt;"",Q24&lt;&gt;"",S24&lt;&gt;""),TRUE)),"Тайёр","Тўлдирилмаган"))</x:f>
        <x:v>Тўлдирилмаган</x:v>
      </x:c>
    </x:row>
    <x:row r="25">
      <x:c r="A25" s="9" t="str">
        <x:v>D-024</x:v>
      </x:c>
      <x:c r="B25" s="9" t="str">
        <x:v>T-051</x:v>
      </x:c>
      <x:c r="C25" s="9" t="n">
        <x:v>81</x:v>
      </x:c>
      <x:c r="D25" s="9" t="str">
        <x:v>Пахтаобод тумани</x:v>
      </x:c>
      <x:c r="E25"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5" s="9" t="str">
        <x:v>II чорак / I ярим йиллик</x:v>
      </x:c>
      <x:c r="G25" s="9" t="str">
        <x:v>2026 йил I ярим йиллик</x:v>
      </x:c>
      <x:c r="H25" s="9" t="str"/>
      <x:c r="I25" s="9" t="str"/>
      <x:c r="J25" s="9" t="str"/>
      <x:c r="K25" s="9" t="str">
        <x:v>Туман/шаҳар ижрочи ёки матнда кўрсатилган, лекин алоҳида рақамли мақсад ажратилмаган.</x:v>
      </x:c>
      <x:c r="L25" s="17" t="str"/>
      <x:c r="M25" s="17" t="str"/>
      <x:c r="N25" s="17" t="str"/>
      <x:c r="O25" s="17" t="str"/>
      <x:c r="P25" s="17" t="str"/>
      <x:c r="Q25" s="17" t="str"/>
      <x:c r="R25" s="17" t="str"/>
      <x:c r="S25" s="19" t="str"/>
      <x:c r="T25" s="19" t="str"/>
      <x:c r="U25" s="17" t="str"/>
      <x:c r="V25" s="17" t="str"/>
      <x:c r="W25" s="18" t="str">
        <x:f>IF(COUNTA(L25:V25)=0,"",IF(AND(L25&lt;&gt;"",M25&lt;&gt;"",N25&lt;&gt;"",T25&lt;&gt;"",U25&lt;&gt;"",IF(OR(L25="Қайтарилди",L25="Рад этилди",M25="Бажарилмади",M25="Муддати кечикди",N25&lt;&gt;"Етарли"),AND(P25&lt;&gt;"",Q25&lt;&gt;"",S25&lt;&gt;""),TRUE)),"Тайёр","Тўлдирилмаган"))</x:f>
        <x:v>Тўлдирилмаган</x:v>
      </x:c>
    </x:row>
    <x:row r="26">
      <x:c r="A26" s="9" t="str">
        <x:v>D-025</x:v>
      </x:c>
      <x:c r="B26" s="9" t="str">
        <x:v>T-051</x:v>
      </x:c>
      <x:c r="C26" s="9" t="n">
        <x:v>81</x:v>
      </x:c>
      <x:c r="D26" s="9" t="str">
        <x:v>Улуғнор тумани</x:v>
      </x:c>
      <x:c r="E26"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6" s="9" t="str">
        <x:v>II чорак / I ярим йиллик</x:v>
      </x:c>
      <x:c r="G26" s="9" t="str">
        <x:v>2026 йил I ярим йиллик</x:v>
      </x:c>
      <x:c r="H26" s="9" t="str"/>
      <x:c r="I26" s="9" t="str"/>
      <x:c r="J26" s="9" t="str"/>
      <x:c r="K26" s="9" t="str">
        <x:v>Туман/шаҳар ижрочи ёки матнда кўрсатилган, лекин алоҳида рақамли мақсад ажратилмаган.</x:v>
      </x:c>
      <x:c r="L26" s="17" t="str"/>
      <x:c r="M26" s="17" t="str"/>
      <x:c r="N26" s="17" t="str"/>
      <x:c r="O26" s="17" t="str"/>
      <x:c r="P26" s="17" t="str"/>
      <x:c r="Q26" s="17" t="str"/>
      <x:c r="R26" s="17" t="str"/>
      <x:c r="S26" s="19" t="str"/>
      <x:c r="T26" s="19" t="str"/>
      <x:c r="U26" s="17" t="str"/>
      <x:c r="V26" s="17" t="str"/>
      <x:c r="W26" s="18" t="str">
        <x:f>IF(COUNTA(L26:V26)=0,"",IF(AND(L26&lt;&gt;"",M26&lt;&gt;"",N26&lt;&gt;"",T26&lt;&gt;"",U26&lt;&gt;"",IF(OR(L26="Қайтарилди",L26="Рад этилди",M26="Бажарилмади",M26="Муддати кечикди",N26&lt;&gt;"Етарли"),AND(P26&lt;&gt;"",Q26&lt;&gt;"",S26&lt;&gt;""),TRUE)),"Тайёр","Тўлдирилмаган"))</x:f>
        <x:v>Тўлдирилмаган</x:v>
      </x:c>
    </x:row>
    <x:row r="27">
      <x:c r="A27" s="9" t="str">
        <x:v>D-026</x:v>
      </x:c>
      <x:c r="B27" s="9" t="str">
        <x:v>T-051</x:v>
      </x:c>
      <x:c r="C27" s="9" t="n">
        <x:v>81</x:v>
      </x:c>
      <x:c r="D27" s="9" t="str">
        <x:v>Шаҳрихон тумани</x:v>
      </x:c>
      <x:c r="E27"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F27" s="9" t="str">
        <x:v>II чорак / I ярим йиллик</x:v>
      </x:c>
      <x:c r="G27" s="9" t="str">
        <x:v>2026 йил I ярим йиллик</x:v>
      </x:c>
      <x:c r="H27" s="9" t="str"/>
      <x:c r="I27" s="9" t="str"/>
      <x:c r="J27" s="9" t="str"/>
      <x:c r="K27" s="9" t="str">
        <x:v>Туман/шаҳар ижрочи ёки матнда кўрсатилган, лекин алоҳида рақамли мақсад ажратилмаган.</x:v>
      </x:c>
      <x:c r="L27" s="17" t="str"/>
      <x:c r="M27" s="17" t="str"/>
      <x:c r="N27" s="17" t="str"/>
      <x:c r="O27" s="17" t="str"/>
      <x:c r="P27" s="17" t="str"/>
      <x:c r="Q27" s="17" t="str"/>
      <x:c r="R27" s="17" t="str"/>
      <x:c r="S27" s="19" t="str"/>
      <x:c r="T27" s="19" t="str"/>
      <x:c r="U27" s="17" t="str"/>
      <x:c r="V27" s="17" t="str"/>
      <x:c r="W27" s="18" t="str">
        <x:f>IF(COUNTA(L27:V27)=0,"",IF(AND(L27&lt;&gt;"",M27&lt;&gt;"",N27&lt;&gt;"",T27&lt;&gt;"",U27&lt;&gt;"",IF(OR(L27="Қайтарилди",L27="Рад этилди",M27="Бажарилмади",M27="Муддати кечикди",N27&lt;&gt;"Етарли"),AND(P27&lt;&gt;"",Q27&lt;&gt;"",S27&lt;&gt;""),TRUE)),"Тайёр","Тўлдирилмаган"))</x:f>
        <x:v>Тўлдирилмаган</x:v>
      </x:c>
    </x:row>
    <x:row r="28">
      <x:c r="A28" s="9" t="str">
        <x:v>D-027</x:v>
      </x:c>
      <x:c r="B28" s="9" t="str">
        <x:v>T-052</x:v>
      </x:c>
      <x:c r="C28" s="9" t="n">
        <x:v>82</x:v>
      </x:c>
      <x:c r="D28" s="9" t="str">
        <x:v>Бўстон тумани</x:v>
      </x:c>
      <x:c r="E28"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28" s="9" t="str">
        <x:v>IV чорак / йил якуни</x:v>
      </x:c>
      <x:c r="G28" s="9" t="str">
        <x:v>2026 йил якуни билан</x:v>
      </x:c>
      <x:c r="H28" s="9" t="str"/>
      <x:c r="I28" s="9" t="str"/>
      <x:c r="J28" s="9" t="str"/>
      <x:c r="K28" s="9" t="str">
        <x:v>Туман/шаҳар ижрочи ёки матнда кўрсатилган, лекин алоҳида рақамли мақсад ажратилмаган.</x:v>
      </x:c>
      <x:c r="L28" s="17" t="str"/>
      <x:c r="M28" s="17" t="str"/>
      <x:c r="N28" s="17" t="str"/>
      <x:c r="O28" s="17" t="str"/>
      <x:c r="P28" s="17" t="str"/>
      <x:c r="Q28" s="17" t="str"/>
      <x:c r="R28" s="17" t="str"/>
      <x:c r="S28" s="19" t="str"/>
      <x:c r="T28" s="19" t="str"/>
      <x:c r="U28" s="17" t="str"/>
      <x:c r="V28" s="17" t="str"/>
      <x:c r="W28" s="18" t="str">
        <x:f>IF(COUNTA(L28:V28)=0,"",IF(AND(L28&lt;&gt;"",M28&lt;&gt;"",N28&lt;&gt;"",T28&lt;&gt;"",U28&lt;&gt;"",IF(OR(L28="Қайтарилди",L28="Рад этилди",M28="Бажарилмади",M28="Муддати кечикди",N28&lt;&gt;"Етарли"),AND(P28&lt;&gt;"",Q28&lt;&gt;"",S28&lt;&gt;""),TRUE)),"Тайёр","Тўлдирилмаган"))</x:f>
        <x:v>Тўлдирилмаган</x:v>
      </x:c>
    </x:row>
    <x:row r="29">
      <x:c r="A29" s="9" t="str">
        <x:v>D-028</x:v>
      </x:c>
      <x:c r="B29" s="9" t="str">
        <x:v>T-052</x:v>
      </x:c>
      <x:c r="C29" s="9" t="n">
        <x:v>82</x:v>
      </x:c>
      <x:c r="D29" s="9" t="str">
        <x:v>Пахтаобод тумани</x:v>
      </x:c>
      <x:c r="E29"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29" s="9" t="str">
        <x:v>IV чорак / йил якуни</x:v>
      </x:c>
      <x:c r="G29" s="9" t="str">
        <x:v>2026 йил якуни билан</x:v>
      </x:c>
      <x:c r="H29" s="9" t="str"/>
      <x:c r="I29" s="9" t="str"/>
      <x:c r="J29" s="9" t="str"/>
      <x:c r="K29" s="9" t="str">
        <x:v>Туман/шаҳар ижрочи ёки матнда кўрсатилган, лекин алоҳида рақамли мақсад ажратилмаган.</x:v>
      </x:c>
      <x:c r="L29" s="17" t="str"/>
      <x:c r="M29" s="17" t="str"/>
      <x:c r="N29" s="17" t="str"/>
      <x:c r="O29" s="17" t="str"/>
      <x:c r="P29" s="17" t="str"/>
      <x:c r="Q29" s="17" t="str"/>
      <x:c r="R29" s="17" t="str"/>
      <x:c r="S29" s="19" t="str"/>
      <x:c r="T29" s="19" t="str"/>
      <x:c r="U29" s="17" t="str"/>
      <x:c r="V29" s="17" t="str"/>
      <x:c r="W29" s="18" t="str">
        <x:f>IF(COUNTA(L29:V29)=0,"",IF(AND(L29&lt;&gt;"",M29&lt;&gt;"",N29&lt;&gt;"",T29&lt;&gt;"",U29&lt;&gt;"",IF(OR(L29="Қайтарилди",L29="Рад этилди",M29="Бажарилмади",M29="Муддати кечикди",N29&lt;&gt;"Етарли"),AND(P29&lt;&gt;"",Q29&lt;&gt;"",S29&lt;&gt;""),TRUE)),"Тайёр","Тўлдирилмаган"))</x:f>
        <x:v>Тўлдирилмаган</x:v>
      </x:c>
    </x:row>
    <x:row r="30">
      <x:c r="A30" s="9" t="str">
        <x:v>D-029</x:v>
      </x:c>
      <x:c r="B30" s="9" t="str">
        <x:v>T-052</x:v>
      </x:c>
      <x:c r="C30" s="9" t="n">
        <x:v>82</x:v>
      </x:c>
      <x:c r="D30" s="9" t="str">
        <x:v>Улуғнор тумани</x:v>
      </x:c>
      <x:c r="E30"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F30" s="9" t="str">
        <x:v>IV чорак / йил якуни</x:v>
      </x:c>
      <x:c r="G30" s="9" t="str">
        <x:v>2026 йил якуни билан</x:v>
      </x:c>
      <x:c r="H30" s="9" t="str"/>
      <x:c r="I30" s="9" t="str"/>
      <x:c r="J30" s="9" t="str"/>
      <x:c r="K30" s="9" t="str">
        <x:v>Туман/шаҳар ижрочи ёки матнда кўрсатилган, лекин алоҳида рақамли мақсад ажратилмаган.</x:v>
      </x:c>
      <x:c r="L30" s="17" t="str"/>
      <x:c r="M30" s="17" t="str"/>
      <x:c r="N30" s="17" t="str"/>
      <x:c r="O30" s="17" t="str"/>
      <x:c r="P30" s="17" t="str"/>
      <x:c r="Q30" s="17" t="str"/>
      <x:c r="R30" s="17" t="str"/>
      <x:c r="S30" s="19" t="str"/>
      <x:c r="T30" s="19" t="str"/>
      <x:c r="U30" s="17" t="str"/>
      <x:c r="V30" s="17" t="str"/>
      <x:c r="W30" s="18" t="str">
        <x:f>IF(COUNTA(L30:V30)=0,"",IF(AND(L30&lt;&gt;"",M30&lt;&gt;"",N30&lt;&gt;"",T30&lt;&gt;"",U30&lt;&gt;"",IF(OR(L30="Қайтарилди",L30="Рад этилди",M30="Бажарилмади",M30="Муддати кечикди",N30&lt;&gt;"Етарли"),AND(P30&lt;&gt;"",Q30&lt;&gt;"",S30&lt;&gt;""),TRUE)),"Тайёр","Тўлдирилмаган"))</x:f>
        <x:v>Тўлдирилмаган</x:v>
      </x:c>
    </x:row>
  </x:sheetData>
  <x:conditionalFormatting sqref="W2:W30">
    <x:cfRule type="containsText" dxfId="8" priority="1" operator="containsText" text="Тайёр"/>
  </x:conditionalFormatting>
  <x:conditionalFormatting sqref="M2:M30">
    <x:cfRule type="containsText" dxfId="9" priority="2" operator="containsText" text="Бажарилди"/>
    <x:cfRule type="containsText" dxfId="10" priority="3" operator="containsText" text="Бажарилмади"/>
    <x:cfRule type="containsText" dxfId="11" priority="4" operator="containsText" text="Муддати кечикди"/>
  </x:conditionalFormatting>
  <x:dataValidations count="6">
    <x:dataValidation type="list" sqref="L2:L30">
      <x:formula1>'05_Луғатлар'!$A$2:$A$6</x:formula1>
    </x:dataValidation>
    <x:dataValidation type="list" sqref="M2:M30">
      <x:formula1>'05_Луғатлар'!$B$2:$B$6</x:formula1>
    </x:dataValidation>
    <x:dataValidation type="list" sqref="N2:N30">
      <x:formula1>'05_Луғатлар'!$C$2:$C$4</x:formula1>
    </x:dataValidation>
    <x:dataValidation type="list" sqref="P2:P30">
      <x:formula1>'05_Луғатлар'!$D$2:$D$10</x:formula1>
    </x:dataValidation>
    <x:dataValidation type="list" sqref="F2:F30">
      <x:formula1>'05_Луғатлар'!$E$2:$E$6</x:formula1>
    </x:dataValidation>
    <x:dataValidation type="list" sqref="J2:J30">
      <x:formula1>'05_Луғатлар'!$H$2:$H$13</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4" hidden="0" customWidth="1"/>
    <x:col min="2" max="2" width="24" hidden="0" customWidth="1"/>
    <x:col min="3" max="3" width="18" hidden="0" customWidth="1"/>
    <x:col min="4" max="4" width="24" hidden="0" customWidth="1"/>
    <x:col min="5" max="5" width="24" hidden="0" customWidth="1"/>
    <x:col min="6" max="6" width="22" hidden="0" customWidth="1"/>
    <x:col min="7" max="7" width="18" hidden="0" customWidth="1"/>
    <x:col min="8" max="8" width="20" hidden="0" customWidth="1"/>
  </x:cols>
  <x:sheetData>
    <x:row r="1">
      <x:c r="A1" s="15" t="str">
        <x:v>Ҳисобот ҳолати</x:v>
      </x:c>
      <x:c r="B1" s="15" t="str">
        <x:v>Ижро ҳолати</x:v>
      </x:c>
      <x:c r="C1" s="15" t="str">
        <x:v>Далил ҳолати</x:v>
      </x:c>
      <x:c r="D1" s="15" t="str">
        <x:v>Муаммо тури</x:v>
      </x:c>
      <x:c r="E1" s="15" t="str">
        <x:v>Текширув даври</x:v>
      </x:c>
      <x:c r="F1" s="15" t="str">
        <x:v>Даврийлик</x:v>
      </x:c>
      <x:c r="G1" s="15" t="str">
        <x:v>Ҳисобот ойи</x:v>
      </x:c>
      <x:c r="H1" s="15" t="str">
        <x:v>Ўлчов бирлиги</x:v>
      </x:c>
    </x:row>
    <x:row r="2">
      <x:c r="A2" s="20" t="str">
        <x:v>Киритилди</x:v>
      </x:c>
      <x:c r="B2" s="20" t="str">
        <x:v>Бажарилди</x:v>
      </x:c>
      <x:c r="C2" s="20" t="str">
        <x:v>Етарли</x:v>
      </x:c>
      <x:c r="D2" s="20" t="str">
        <x:v>Муаммо йўқ</x:v>
      </x:c>
      <x:c r="E2" s="20" t="str">
        <x:v>I чорак</x:v>
      </x:c>
      <x:c r="F2" s="20" t="str">
        <x:v>Бир марталик</x:v>
      </x:c>
      <x:c r="G2" s="20" t="str"/>
      <x:c r="H2" s="20" t="str">
        <x:v>%</x:v>
      </x:c>
    </x:row>
    <x:row r="3">
      <x:c r="A3" s="20" t="str">
        <x:v>Кўриб чиқилмоқда</x:v>
      </x:c>
      <x:c r="B3" s="20" t="str">
        <x:v>Қисман бажарилди</x:v>
      </x:c>
      <x:c r="C3" s="20" t="str">
        <x:v>Етарли эмас</x:v>
      </x:c>
      <x:c r="D3" s="20" t="str">
        <x:v>Молиялаштириш</x:v>
      </x:c>
      <x:c r="E3" s="20" t="str">
        <x:v>II чорак / I ярим йиллик</x:v>
      </x:c>
      <x:c r="F3" s="20" t="str">
        <x:v>Ярим йиллик</x:v>
      </x:c>
      <x:c r="G3" s="20" t="str">
        <x:v>Январь</x:v>
      </x:c>
      <x:c r="H3" s="20" t="str">
        <x:v>млрд сўм</x:v>
      </x:c>
    </x:row>
    <x:row r="4">
      <x:c r="A4" s="20" t="str">
        <x:v>Тасдиқланди</x:v>
      </x:c>
      <x:c r="B4" s="20" t="str">
        <x:v>Бажарилмади</x:v>
      </x:c>
      <x:c r="C4" s="20" t="str">
        <x:v>Далил йўқ</x:v>
      </x:c>
      <x:c r="D4" s="20" t="str">
        <x:v>Харид жараёни</x:v>
      </x:c>
      <x:c r="E4" s="20" t="str">
        <x:v>III чорак / 9 ой</x:v>
      </x:c>
      <x:c r="F4" s="20" t="str">
        <x:v>Йил якуни</x:v>
      </x:c>
      <x:c r="G4" s="20" t="str">
        <x:v>Февраль</x:v>
      </x:c>
      <x:c r="H4" s="20" t="str">
        <x:v>млн сўм</x:v>
      </x:c>
    </x:row>
    <x:row r="5">
      <x:c r="A5" s="20" t="str">
        <x:v>Қайтарилди</x:v>
      </x:c>
      <x:c r="B5" s="20" t="str">
        <x:v>Муддати кечикди</x:v>
      </x:c>
      <x:c r="D5" s="20" t="str">
        <x:v>Муддат кечикиши</x:v>
      </x:c>
      <x:c r="E5" s="20" t="str">
        <x:v>IV чорак / йил якуни</x:v>
      </x:c>
      <x:c r="F5" s="20" t="str">
        <x:v>Ҳар ой</x:v>
      </x:c>
      <x:c r="G5" s="20" t="str">
        <x:v>Март</x:v>
      </x:c>
      <x:c r="H5" s="20" t="str">
        <x:v>млн $</x:v>
      </x:c>
    </x:row>
    <x:row r="6">
      <x:c r="A6" s="20" t="str">
        <x:v>Рад этилди</x:v>
      </x:c>
      <x:c r="B6" s="20" t="str">
        <x:v>Маълумот йўқ</x:v>
      </x:c>
      <x:c r="D6" s="20" t="str">
        <x:v>Далил етарсиз</x:v>
      </x:c>
      <x:c r="E6" s="20" t="str">
        <x:v>Ҳар ой</x:v>
      </x:c>
      <x:c r="F6" s="20" t="str">
        <x:v>Доимий / давомида</x:v>
      </x:c>
      <x:c r="G6" s="20" t="str">
        <x:v>Апрель</x:v>
      </x:c>
      <x:c r="H6" s="20" t="str">
        <x:v>минг $</x:v>
      </x:c>
    </x:row>
    <x:row r="7">
      <x:c r="D7" s="20" t="str">
        <x:v>Маълумот номувофиқ</x:v>
      </x:c>
      <x:c r="G7" s="20" t="str">
        <x:v>Май</x:v>
      </x:c>
      <x:c r="H7" s="20" t="str">
        <x:v>минг киши</x:v>
      </x:c>
    </x:row>
    <x:row r="8">
      <x:c r="D8" s="20" t="str">
        <x:v>Ижрочи масъулияти</x:v>
      </x:c>
      <x:c r="G8" s="20" t="str">
        <x:v>Июнь</x:v>
      </x:c>
      <x:c r="H8" s="20" t="str">
        <x:v>киши</x:v>
      </x:c>
    </x:row>
    <x:row r="9">
      <x:c r="D9" s="20" t="str">
        <x:v>Ташқи омил</x:v>
      </x:c>
      <x:c r="G9" s="20" t="str">
        <x:v>Июль</x:v>
      </x:c>
      <x:c r="H9" s="20" t="str">
        <x:v>та</x:v>
      </x:c>
    </x:row>
    <x:row r="10">
      <x:c r="D10" s="20" t="str">
        <x:v>Бошқа</x:v>
      </x:c>
      <x:c r="G10" s="20" t="str">
        <x:v>Август</x:v>
      </x:c>
      <x:c r="H10" s="20" t="str">
        <x:v>минг тонна</x:v>
      </x:c>
    </x:row>
    <x:row r="11">
      <x:c r="G11" s="20" t="str">
        <x:v>Сентябрь</x:v>
      </x:c>
      <x:c r="H11" s="20" t="str">
        <x:v>млн кВт·соат</x:v>
      </x:c>
    </x:row>
    <x:row r="12">
      <x:c r="G12" s="20" t="str">
        <x:v>Октябрь</x:v>
      </x:c>
      <x:c r="H12" s="20" t="str">
        <x:v>млн м³</x:v>
      </x:c>
    </x:row>
    <x:row r="13">
      <x:c r="G13" s="20" t="str">
        <x:v>Ноябрь</x:v>
      </x:c>
      <x:c r="H13" s="20" t="str">
        <x:v>балл</x:v>
      </x:c>
    </x:row>
    <x:row r="14">
      <x:c r="G14" s="20" t="str">
        <x:v>Декабрь</x:v>
      </x:c>
    </x:row>
    <x:row r="15">
      <x:c r="G15" s="20" t="str">
        <x:v>Ҳар ой</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18" hidden="0" customWidth="1"/>
    <x:col min="3" max="3" width="13" hidden="0" customWidth="1"/>
    <x:col min="4" max="4" width="34" hidden="0" customWidth="1"/>
    <x:col min="5" max="5" width="16" hidden="0" customWidth="1"/>
    <x:col min="6" max="6" width="78" hidden="0" customWidth="1"/>
    <x:col min="7" max="7" width="24" hidden="0" customWidth="1"/>
    <x:col min="8" max="8" width="13" hidden="0" customWidth="1"/>
    <x:col min="9" max="9" width="20" hidden="0" customWidth="1"/>
    <x:col min="10" max="10" width="34" hidden="0" customWidth="1"/>
    <x:col min="11" max="11" width="36" hidden="0" customWidth="1"/>
  </x:cols>
  <x:sheetData>
    <x:row r="1">
      <x:c r="A1" s="16" t="str">
        <x:v>Source №</x:v>
      </x:c>
      <x:c r="B1" s="16" t="str">
        <x:v>Тип</x:v>
      </x:c>
      <x:c r="C1" s="16" t="str">
        <x:v>Platform ID</x:v>
      </x:c>
      <x:c r="D1" s="16" t="str">
        <x:v>Йўналиш</x:v>
      </x:c>
      <x:c r="E1" s="16" t="str">
        <x:v>KPI</x:v>
      </x:c>
      <x:c r="F1" s="16" t="str">
        <x:v>Матн</x:v>
      </x:c>
      <x:c r="G1" s="16" t="str">
        <x:v>Ижро муддати</x:v>
      </x:c>
      <x:c r="H1" s="16" t="str">
        <x:v>Period code</x:v>
      </x:c>
      <x:c r="I1" s="16" t="str">
        <x:v>Даврийлик</x:v>
      </x:c>
      <x:c r="J1" s="16" t="str">
        <x:v>Ҳудудлар</x:v>
      </x:c>
      <x:c r="K1" s="16" t="str">
        <x:v>Масъул</x:v>
      </x:c>
    </x:row>
    <x:row r="2">
      <x:c r="A2" s="9" t="n">
        <x:v>1</x:v>
      </x:c>
      <x:c r="B2" s="9" t="str">
        <x:v>KPI</x:v>
      </x:c>
      <x:c r="C2" s="9" t="str">
        <x:v>K-001</x:v>
      </x:c>
      <x:c r="D2" s="9" t="str">
        <x:v>1.1. Ялпи ҳудудий маҳсулот бўйича мақсадлар</x:v>
      </x:c>
      <x:c r="E2" s="9" t="str">
        <x:v>grp</x:v>
      </x:c>
      <x:c r="F2" s="9" t="str">
        <x:v>Ялпи ҳудудий маҳсулотни 7,2 фоизга ўсишини таъминлаш.</x:v>
      </x:c>
      <x:c r="G2" s="9" t="str">
        <x:v>2026 йил I ярим йиллик</x:v>
      </x:c>
      <x:c r="H2" s="9" t="str">
        <x:v>h1</x:v>
      </x:c>
      <x:c r="I2" s="9" t="str">
        <x:v>Ярим йиллик</x:v>
      </x:c>
      <x:c r="J2" s="9" t="str">
        <x:v>Вилоят</x:v>
      </x:c>
      <x:c r="K2" s="9" t="str">
        <x:v>Андижон вилояти ҳокимлиги</x:v>
      </x:c>
    </x:row>
    <x:row r="3">
      <x:c r="A3" s="9" t="n">
        <x:v>2</x:v>
      </x:c>
      <x:c r="B3" s="9" t="str">
        <x:v>KPI</x:v>
      </x:c>
      <x:c r="C3" s="9" t="str">
        <x:v>K-002</x:v>
      </x:c>
      <x:c r="D3" s="9" t="str">
        <x:v>1.1. Ялпи ҳудудий маҳсулот бўйича мақсадлар</x:v>
      </x:c>
      <x:c r="E3" s="9" t="str">
        <x:v>grp</x:v>
      </x:c>
      <x:c r="F3" s="9" t="str">
        <x:v>Йил якуни билан ялпи ҳудудий маҳсулотни 7,8 фоизга ўсишини таъминлаш ва 124,8 трлн сўмга етказиш.</x:v>
      </x:c>
      <x:c r="G3" s="9" t="str">
        <x:v>2026 йил якуни билан</x:v>
      </x:c>
      <x:c r="H3" s="9" t="str">
        <x:v>year</x:v>
      </x:c>
      <x:c r="I3" s="9" t="str">
        <x:v>Йил якуни</x:v>
      </x:c>
      <x:c r="J3" s="9" t="str">
        <x:v>Вилоят</x:v>
      </x:c>
      <x:c r="K3" s="9" t="str">
        <x:v>Андижон вилояти ҳокимлиги</x:v>
      </x:c>
    </x:row>
    <x:row r="4">
      <x:c r="A4" s="9" t="n">
        <x:v>3</x:v>
      </x:c>
      <x:c r="B4" s="9" t="str">
        <x:v>KPI</x:v>
      </x:c>
      <x:c r="C4" s="9" t="str">
        <x:v>K-003</x:v>
      </x:c>
      <x:c r="D4" s="9" t="str">
        <x:v>1.2. Саноат йўналишида</x:v>
      </x:c>
      <x:c r="E4" s="9" t="str">
        <x:v>industry</x:v>
      </x:c>
      <x:c r="F4" s="9" t="str">
        <x:v>52,6 трлн сўмлик саноат маҳсулоти ишлаб чиқариш, ўсиш суръатини 7,7 фоизга етказиш.</x:v>
      </x:c>
      <x:c r="G4" s="9" t="str">
        <x:v>2026 йил I ярим йиллик</x:v>
      </x:c>
      <x:c r="H4" s="9" t="str">
        <x:v>h1</x:v>
      </x:c>
      <x:c r="I4" s="9" t="str">
        <x:v>Ярим йиллик</x:v>
      </x:c>
      <x:c r="J4" s="9" t="str">
        <x:v>Вилоят</x:v>
      </x:c>
      <x:c r="K4" s="9" t="str">
        <x:v>Андижон вилояти ҳокимлиги</x:v>
      </x:c>
    </x:row>
    <x:row r="5">
      <x:c r="A5" s="9" t="n">
        <x:v>4</x:v>
      </x:c>
      <x:c r="B5" s="9" t="str">
        <x:v>Чора-тадбирлар</x:v>
      </x:c>
      <x:c r="C5" s="9" t="str">
        <x:v>T-001</x:v>
      </x:c>
      <x:c r="D5" s="9" t="str">
        <x:v>1.2. Саноат йўналишида</x:v>
      </x:c>
      <x:c r="E5" s="9" t="str">
        <x:v>industry</x:v>
      </x:c>
      <x:c r="F5" s="9" t="str">
        <x:v>Вилоятдаги махсус иқтисодий ва саноат зоналарида 0,5 трлн сўм. саноат маҳсулоти ишлаб чиқариш</x:v>
      </x:c>
      <x:c r="G5" s="9" t="str">
        <x:v>2026 йил I ярим йиллик</x:v>
      </x:c>
      <x:c r="H5" s="9" t="str">
        <x:v>h1</x:v>
      </x:c>
      <x:c r="I5" s="9" t="str">
        <x:v>Ярим йиллик</x:v>
      </x:c>
      <x:c r="J5" s="9" t="str">
        <x:v>Вилоят</x:v>
      </x:c>
      <x:c r="K5" s="9" t="str">
        <x:v>Андижон вилояти ҳокимлиги</x:v>
      </x:c>
    </x:row>
    <x:row r="6">
      <x:c r="A6" s="9" t="n">
        <x:v>5</x:v>
      </x:c>
      <x:c r="B6" s="9" t="str">
        <x:v>KPI</x:v>
      </x:c>
      <x:c r="C6" s="9" t="str">
        <x:v>K-004</x:v>
      </x:c>
      <x:c r="D6" s="9" t="str">
        <x:v>1.2. Саноат йўналишида</x:v>
      </x:c>
      <x:c r="E6" s="9" t="str">
        <x:v>industry</x:v>
      </x:c>
      <x:c r="F6" s="9" t="str">
        <x:v>2026 йил якуни билан саноат маҳсулотлари ҳажмини 126,2 трлн сўмга етказиш, 8,2 фоизни ўсиш суръатини таъминлаш.</x:v>
      </x:c>
      <x:c r="G6" s="9" t="str">
        <x:v>2026 йил якуни билан</x:v>
      </x:c>
      <x:c r="H6" s="9" t="str">
        <x:v>year</x:v>
      </x:c>
      <x:c r="I6" s="9" t="str">
        <x:v>Йил якуни</x:v>
      </x:c>
      <x:c r="J6" s="9" t="str">
        <x:v>Вилоят</x:v>
      </x:c>
      <x:c r="K6" s="9" t="str">
        <x:v>Андижон вилояти ҳокимлиги</x:v>
      </x:c>
    </x:row>
    <x:row r="7">
      <x:c r="A7" s="9" t="n">
        <x:v>6</x:v>
      </x:c>
      <x:c r="B7" s="9" t="str">
        <x:v>Чора-тадбирлар</x:v>
      </x:c>
      <x:c r="C7" s="9" t="str">
        <x:v>T-002</x:v>
      </x:c>
      <x:c r="D7" s="9" t="str">
        <x:v>1.2. Саноат йўналишида</x:v>
      </x:c>
      <x:c r="E7" s="9" t="str">
        <x:v>industry</x:v>
      </x:c>
      <x:c r="F7" s="9" t="str">
        <x:v>Вилоятдаги махсус иқтисодий ва саноат зоналарида 1,2 трлн сўм. саноат маҳсулоти ишлаб чиқариш</x:v>
      </x:c>
      <x:c r="G7" s="9" t="str">
        <x:v>2026 йил якуни билан</x:v>
      </x:c>
      <x:c r="H7" s="9" t="str">
        <x:v>year</x:v>
      </x:c>
      <x:c r="I7" s="9" t="str">
        <x:v>Йил якуни</x:v>
      </x:c>
      <x:c r="J7" s="9" t="str">
        <x:v>Вилоят</x:v>
      </x:c>
      <x:c r="K7" s="9" t="str">
        <x:v>Андижон вилояти ҳокимлиги</x:v>
      </x:c>
    </x:row>
    <x:row r="8">
      <x:c r="A8" s="9" t="n">
        <x:v>7</x:v>
      </x:c>
      <x:c r="B8" s="9" t="str">
        <x:v>Чора-тадбирлар</x:v>
      </x:c>
      <x:c r="C8" s="9" t="str">
        <x:v>T-003</x:v>
      </x:c>
      <x:c r="D8" s="9" t="str">
        <x:v>1.2. Саноат йўналишида</x:v>
      </x:c>
      <x:c r="E8" s="9" t="str">
        <x:v>industry</x:v>
      </x:c>
      <x:c r="F8" s="9" t="str">
        <x:v>Паст ўсиш кузатилган Хонобод шаҳри ва Шаҳрихон тумани бўйича ишланиб, биринчи ярим йилликда вилоят кўрсаткичларидан бўлмаган даражада ўсишига эришиш.</x:v>
      </x:c>
      <x:c r="G8" s="9" t="str">
        <x:v>2026 йил I ярим йиллик</x:v>
      </x:c>
      <x:c r="H8" s="9" t="str">
        <x:v>h1</x:v>
      </x:c>
      <x:c r="I8" s="9" t="str">
        <x:v>Ярим йиллик</x:v>
      </x:c>
      <x:c r="J8" s="9" t="str">
        <x:v>Хонобод шаҳри; Шаҳрихон тумани</x:v>
      </x:c>
      <x:c r="K8" s="9" t="str">
        <x:v>Андижон вилояти ҳокимлиги, Хонобод шаҳри ҳокимлиги, Шаҳрихон тумани ҳокимлиги</x:v>
      </x:c>
    </x:row>
    <x:row r="9">
      <x:c r="A9" s="9" t="n">
        <x:v>8</x:v>
      </x:c>
      <x:c r="B9" s="9" t="str">
        <x:v>Чора-тадбирлар</x:v>
      </x:c>
      <x:c r="C9" s="9" t="str">
        <x:v>T-004</x:v>
      </x:c>
      <x:c r="D9" s="9" t="str">
        <x:v>1.2. Саноат йўналишида</x:v>
      </x:c>
      <x:c r="E9" s="9" t="str">
        <x:v>industry</x:v>
      </x:c>
      <x:c r="F9" s="9" t="str">
        <x:v>Ишлаб чиқариш ҳажмини пасайтирган 6 та йирик корхонага кўмаклашиш орқали биринчи ярим йилликда 55 млрд сўмлик ҳажмларни қайта тиклаш.</x:v>
      </x:c>
      <x:c r="G9" s="9" t="str">
        <x:v>2026 йил I ярим йиллик</x:v>
      </x:c>
      <x:c r="H9" s="9" t="str">
        <x:v>h1</x:v>
      </x:c>
      <x:c r="I9" s="9" t="str">
        <x:v>Ярим йиллик</x:v>
      </x:c>
      <x:c r="J9" s="9" t="str">
        <x:v>Вилоят</x:v>
      </x:c>
      <x:c r="K9" s="9" t="str">
        <x:v>Андижон вилояти ҳокимлиги</x:v>
      </x:c>
    </x:row>
    <x:row r="10">
      <x:c r="A10" s="9" t="n">
        <x:v>9</x:v>
      </x:c>
      <x:c r="B10" s="9" t="str">
        <x:v>Чора-тадбирлар</x:v>
      </x:c>
      <x:c r="C10" s="9" t="str">
        <x:v>T-005</x:v>
      </x:c>
      <x:c r="D10" s="9" t="str">
        <x:v>1.2. Саноат йўналишида</x:v>
      </x:c>
      <x:c r="E10" s="9" t="str">
        <x:v>industry</x:v>
      </x:c>
      <x:c r="F10" s="9" t="str">
        <x:v>Йил якуни билан ишлаб чиқариш ҳажмини пасайтирган 6 та йирик корхонага кўмаклашиш орқали 120 млрд сўмлик ҳажмларни қайта тиклаш.</x:v>
      </x:c>
      <x:c r="G10" s="9" t="str">
        <x:v>2026 йил якуни билан</x:v>
      </x:c>
      <x:c r="H10" s="9" t="str">
        <x:v>year</x:v>
      </x:c>
      <x:c r="I10" s="9" t="str">
        <x:v>Йил якуни</x:v>
      </x:c>
      <x:c r="J10" s="9" t="str">
        <x:v>Вилоят</x:v>
      </x:c>
      <x:c r="K10" s="9" t="str">
        <x:v>Андижон вилояти ҳокимлиги</x:v>
      </x:c>
    </x:row>
    <x:row r="11">
      <x:c r="A11" s="9" t="n">
        <x:v>10</x:v>
      </x:c>
      <x:c r="B11" s="9" t="str">
        <x:v>Чора-тадбирлар</x:v>
      </x:c>
      <x:c r="C11" s="9" t="str">
        <x:v>T-006</x:v>
      </x:c>
      <x:c r="D11" s="9" t="str">
        <x:v>1.2. Саноат йўналишида</x:v>
      </x:c>
      <x:c r="E11" s="9" t="str">
        <x:v>industry</x:v>
      </x:c>
      <x:c r="F11" s="9" t="str">
        <x:v>1 335 млн долларлик 307 та лойиҳани ишга тушириш.</x:v>
      </x:c>
      <x:c r="G11" s="9" t="str">
        <x:v>2026 йил якуни билан</x:v>
      </x:c>
      <x:c r="H11" s="9" t="str">
        <x:v>year</x:v>
      </x:c>
      <x:c r="I11" s="9" t="str">
        <x:v>Йил якуни</x:v>
      </x:c>
      <x:c r="J11" s="9" t="str">
        <x:v>Вилоят</x:v>
      </x:c>
      <x:c r="K11" s="9" t="str">
        <x:v>Андижон вилояти ҳокимлиги</x:v>
      </x:c>
    </x:row>
    <x:row r="12">
      <x:c r="A12" s="9" t="n">
        <x:v>11</x:v>
      </x:c>
      <x:c r="B12" s="9" t="str">
        <x:v>Чора-тадбирлар</x:v>
      </x:c>
      <x:c r="C12" s="9" t="str">
        <x:v>T-007</x:v>
      </x:c>
      <x:c r="D12" s="9" t="str">
        <x:v>1.2. Саноат йўналишида</x:v>
      </x:c>
      <x:c r="E12" s="9" t="str">
        <x:v>industry</x:v>
      </x:c>
      <x:c r="F12" s="9" t="str">
        <x:v>307 та лойиҳаларнинг 15 тасини махсус иқтисодий зоналарда ва 116 тасини саноат зоналарида ишга тушириш.</x:v>
      </x:c>
      <x:c r="G12" s="9" t="str">
        <x:v>2026 йил якуни билан</x:v>
      </x:c>
      <x:c r="H12" s="9" t="str">
        <x:v>year</x:v>
      </x:c>
      <x:c r="I12" s="9" t="str">
        <x:v>Йил якуни</x:v>
      </x:c>
      <x:c r="J12" s="9" t="str">
        <x:v>Вилоят</x:v>
      </x:c>
      <x:c r="K12" s="9" t="str">
        <x:v>Андижон вилояти ҳокимлиги</x:v>
      </x:c>
    </x:row>
    <x:row r="13">
      <x:c r="A13" s="9" t="n">
        <x:v>12</x:v>
      </x:c>
      <x:c r="B13" s="9" t="str">
        <x:v>Чора-тадбирлар</x:v>
      </x:c>
      <x:c r="C13" s="9" t="str">
        <x:v>T-008</x:v>
      </x:c>
      <x:c r="D13" s="9" t="str">
        <x:v>1.2. Саноат йўналишида</x:v>
      </x:c>
      <x:c r="E13" s="9" t="str">
        <x:v>industry</x:v>
      </x:c>
      <x:c r="F13" s="9" t="str">
        <x:v>Фаолиятини вақтинча тўхтатган 242 та корхонада ишлаб чиқариш жараёнларини қайта йўлга қўйиш.</x:v>
      </x:c>
      <x:c r="G13" s="9" t="str">
        <x:v>2026 йил якуни билан</x:v>
      </x:c>
      <x:c r="H13" s="9" t="str">
        <x:v>year</x:v>
      </x:c>
      <x:c r="I13" s="9" t="str">
        <x:v>Йил якуни</x:v>
      </x:c>
      <x:c r="J13" s="9" t="str">
        <x:v>Вилоят</x:v>
      </x:c>
      <x:c r="K13" s="9" t="str">
        <x:v>Андижон вилояти ҳокимлиги</x:v>
      </x:c>
    </x:row>
    <x:row r="14">
      <x:c r="A14" s="9" t="n">
        <x:v>13</x:v>
      </x:c>
      <x:c r="B14" s="9" t="str">
        <x:v>Чора-тадбирлар</x:v>
      </x:c>
      <x:c r="C14" s="9" t="str">
        <x:v>T-009</x:v>
      </x:c>
      <x:c r="D14" s="9" t="str">
        <x:v>1.2. Саноат йўналишида</x:v>
      </x:c>
      <x:c r="E14" s="9" t="str">
        <x:v>industry</x:v>
      </x:c>
      <x:c r="F14" s="9" t="str">
        <x:v>Ҳудудий саноатнинг асосий қисмини ташкил этувчи 20 та корхонани ҳар ой таҳлил қилиш.</x:v>
      </x:c>
      <x:c r="G14" s="9" t="str">
        <x:v>2026 йил давомида,ҳар ой</x:v>
      </x:c>
      <x:c r="H14" s="9" t="str">
        <x:v>year</x:v>
      </x:c>
      <x:c r="I14" s="9" t="str">
        <x:v>Ҳар ой</x:v>
      </x:c>
      <x:c r="J14" s="9" t="str">
        <x:v>Вилоят</x:v>
      </x:c>
      <x:c r="K14" s="9" t="str">
        <x:v>Андижон вилояти ҳокимлиги</x:v>
      </x:c>
    </x:row>
    <x:row r="15">
      <x:c r="A15" s="9" t="n">
        <x:v>14</x:v>
      </x:c>
      <x:c r="B15" s="9" t="str">
        <x:v>Чора-тадбирлар</x:v>
      </x:c>
      <x:c r="C15" s="9" t="str">
        <x:v>T-010</x:v>
      </x:c>
      <x:c r="D15" s="9" t="str">
        <x:v>Саноат йўналишида, шу жумладан маҳаллийлаштириш</x:v>
      </x:c>
      <x:c r="E15" s="9" t="str">
        <x:v>localization</x:v>
      </x:c>
      <x:c r="F15" s="9" t="str">
        <x:v>Маҳаллийлаштириш дастурига асосан йил якунига қадар 12,4 трлн сўмлик маҳсулот ишлаб чиқариш (ўсиш – 35%).</x:v>
      </x:c>
      <x:c r="G15" s="9" t="str">
        <x:v>2026 йил якуни билан</x:v>
      </x:c>
      <x:c r="H15" s="9" t="str">
        <x:v>year</x:v>
      </x:c>
      <x:c r="I15" s="9" t="str">
        <x:v>Йил якуни</x:v>
      </x:c>
      <x:c r="J15" s="9" t="str">
        <x:v>Вилоят</x:v>
      </x:c>
      <x:c r="K15" s="9" t="str">
        <x:v>Андижон вилояти ҳокимлиги</x:v>
      </x:c>
    </x:row>
    <x:row r="16">
      <x:c r="A16" s="9" t="n">
        <x:v>15</x:v>
      </x:c>
      <x:c r="B16" s="9" t="str">
        <x:v>Чора-тадбирлар</x:v>
      </x:c>
      <x:c r="C16" s="9" t="str">
        <x:v>T-011</x:v>
      </x:c>
      <x:c r="D16" s="9" t="str">
        <x:v>Саноат йўналишида, шу жумладан маҳаллийлаштириш</x:v>
      </x:c>
      <x:c r="E16" s="9" t="str">
        <x:v>localization</x:v>
      </x:c>
      <x:c r="F16" s="9" t="str">
        <x:v>17 трлн сўмлик давлат харидларини амалга ошириб, унда рақобатли харидлар улушини 70 фоизга етказиш (2025 йилда рақобатли харид улуши 29%).</x:v>
      </x:c>
      <x:c r="G16" s="9" t="str">
        <x:v>2026 йил якуни билан</x:v>
      </x:c>
      <x:c r="H16" s="9" t="str">
        <x:v>year</x:v>
      </x:c>
      <x:c r="I16" s="9" t="str">
        <x:v>Йил якуни</x:v>
      </x:c>
      <x:c r="J16" s="9" t="str">
        <x:v>Вилоят</x:v>
      </x:c>
      <x:c r="K16" s="9" t="str">
        <x:v>Андижон вилояти ҳокимлиги</x:v>
      </x:c>
    </x:row>
    <x:row r="17">
      <x:c r="A17" s="9" t="n">
        <x:v>16</x:v>
      </x:c>
      <x:c r="B17" s="9" t="str">
        <x:v>Чора-тадбирлар</x:v>
      </x:c>
      <x:c r="C17" s="9" t="str">
        <x:v>T-012</x:v>
      </x:c>
      <x:c r="D17" s="9" t="str">
        <x:v>Саноат йўналишида, шу жумладан маҳаллийлаштириш</x:v>
      </x:c>
      <x:c r="E17" s="9" t="str">
        <x:v>localization</x:v>
      </x:c>
      <x:c r="F17" s="9" t="str">
        <x:v>2026 йилда ўзлаштириш режалаштирилган 3 342 млн долларлик 138 та хорижий инвестиция иштирокидаги лойиҳалар учун маҳаллий контент ҳажмини 1 505 млн долларга (улуши 45%) етказиш.</x:v>
      </x:c>
      <x:c r="G17" s="9" t="str">
        <x:v>2026 йил якуни билан</x:v>
      </x:c>
      <x:c r="H17" s="9" t="str">
        <x:v>year</x:v>
      </x:c>
      <x:c r="I17" s="9" t="str">
        <x:v>Йил якуни</x:v>
      </x:c>
      <x:c r="J17" s="9" t="str">
        <x:v>Вилоят</x:v>
      </x:c>
      <x:c r="K17" s="9" t="str">
        <x:v>Андижон вилояти ҳокимлиги</x:v>
      </x:c>
    </x:row>
    <x:row r="18">
      <x:c r="A18" s="9" t="n">
        <x:v>17</x:v>
      </x:c>
      <x:c r="B18" s="9" t="str">
        <x:v>KPI</x:v>
      </x:c>
      <x:c r="C18" s="9" t="str">
        <x:v>K-005</x:v>
      </x:c>
      <x:c r="D18" s="9" t="str">
        <x:v>Саноат йўналишида, шу жумладан энергия самарадорликни ошириш</x:v>
      </x:c>
      <x:c r="E18" s="9" t="str">
        <x:v>energy_electricity</x:v>
      </x:c>
      <x:c r="F18" s="9" t="str">
        <x:v>Энергия самарадорлигини ошириш орқали маҳаллий корхоналарда биринчи ярим йилликда 81,4 млн кВт соат электр энергия иқтисод қилиш.</x:v>
      </x:c>
      <x:c r="G18" s="9" t="str">
        <x:v>2026 йил I ярим йиллик</x:v>
      </x:c>
      <x:c r="H18" s="9" t="str">
        <x:v>h1</x:v>
      </x:c>
      <x:c r="I18" s="9" t="str">
        <x:v>Ярим йиллик</x:v>
      </x:c>
      <x:c r="J18" s="9" t="str">
        <x:v>Вилоят</x:v>
      </x:c>
      <x:c r="K18" s="9" t="str">
        <x:v>Андижон вилояти ҳокимлиги</x:v>
      </x:c>
    </x:row>
    <x:row r="19">
      <x:c r="A19" s="9" t="n">
        <x:v>18</x:v>
      </x:c>
      <x:c r="B19" s="9" t="str">
        <x:v>KPI</x:v>
      </x:c>
      <x:c r="C19" s="9" t="str">
        <x:v>K-006</x:v>
      </x:c>
      <x:c r="D19" s="9" t="str">
        <x:v>Саноат йўналишида, шу жумладан энергия самарадорликни ошириш</x:v>
      </x:c>
      <x:c r="E19" s="9" t="str">
        <x:v>energy_electricity</x:v>
      </x:c>
      <x:c r="F19" s="9" t="str">
        <x:v>Йил якунига қадар энергия самарадорлигини ошириш орқали маҳаллий корхоналарда 177,6 млн кВт соат иқтисод қилиш.</x:v>
      </x:c>
      <x:c r="G19" s="9" t="str">
        <x:v>2026 йил якуни билан</x:v>
      </x:c>
      <x:c r="H19" s="9" t="str">
        <x:v>year</x:v>
      </x:c>
      <x:c r="I19" s="9" t="str">
        <x:v>Йил якуни</x:v>
      </x:c>
      <x:c r="J19" s="9" t="str">
        <x:v>Вилоят</x:v>
      </x:c>
      <x:c r="K19" s="9" t="str">
        <x:v>Андижон вилояти ҳокимлиги</x:v>
      </x:c>
    </x:row>
    <x:row r="20">
      <x:c r="A20" s="9" t="n">
        <x:v>19</x:v>
      </x:c>
      <x:c r="B20" s="9" t="str">
        <x:v>KPI</x:v>
      </x:c>
      <x:c r="C20" s="9" t="str">
        <x:v>K-007</x:v>
      </x:c>
      <x:c r="D20" s="9" t="str">
        <x:v>Саноат йўналишида, шу жумладан энергия самарадорликни ошириш</x:v>
      </x:c>
      <x:c r="E20" s="9" t="str">
        <x:v>energy_gas</x:v>
      </x:c>
      <x:c r="F20" s="9" t="str">
        <x:v>22,8 млн куб метр табиий газ иқтисод қилиш.</x:v>
      </x:c>
      <x:c r="G20" s="9" t="str">
        <x:v>2026 йил I ярим йиллик</x:v>
      </x:c>
      <x:c r="H20" s="9" t="str">
        <x:v>h1</x:v>
      </x:c>
      <x:c r="I20" s="9" t="str">
        <x:v>Ярим йиллик</x:v>
      </x:c>
      <x:c r="J20" s="9" t="str">
        <x:v>Вилоят</x:v>
      </x:c>
      <x:c r="K20" s="9" t="str">
        <x:v>Андижон вилояти ҳокимлиги</x:v>
      </x:c>
    </x:row>
    <x:row r="21">
      <x:c r="A21" s="9" t="n">
        <x:v>20</x:v>
      </x:c>
      <x:c r="B21" s="9" t="str">
        <x:v>KPI</x:v>
      </x:c>
      <x:c r="C21" s="9" t="str">
        <x:v>K-008</x:v>
      </x:c>
      <x:c r="D21" s="9" t="str">
        <x:v>Саноат йўналишида, шу жумладан энергия самарадорликни ошириш</x:v>
      </x:c>
      <x:c r="E21" s="9" t="str">
        <x:v>energy_gas</x:v>
      </x:c>
      <x:c r="F21" s="9" t="str">
        <x:v>Йил якунига қадар 53,1 млн куб метр табиий газ иқтисод қилиш.</x:v>
      </x:c>
      <x:c r="G21" s="9" t="str">
        <x:v>2026 йил якуни билан</x:v>
      </x:c>
      <x:c r="H21" s="9" t="str">
        <x:v>year</x:v>
      </x:c>
      <x:c r="I21" s="9" t="str">
        <x:v>Йил якуни</x:v>
      </x:c>
      <x:c r="J21" s="9" t="str">
        <x:v>Вилоят</x:v>
      </x:c>
      <x:c r="K21" s="9" t="str">
        <x:v>Андижон вилояти ҳокимлиги</x:v>
      </x:c>
    </x:row>
    <x:row r="22">
      <x:c r="A22" s="9" t="n">
        <x:v>21</x:v>
      </x:c>
      <x:c r="B22" s="9" t="str">
        <x:v>KPI</x:v>
      </x:c>
      <x:c r="C22" s="9" t="str">
        <x:v>K-009</x:v>
      </x:c>
      <x:c r="D22" s="9" t="str">
        <x:v>1.3. Бозор хизматлари</x:v>
      </x:c>
      <x:c r="E22" s="9" t="str">
        <x:v>services</x:v>
      </x:c>
      <x:c r="F22" s="9" t="str">
        <x:v>Биринчи ярим йилликда бозор хизматлари ҳажмини 27,9 трлн сўмга, ўсиш суръатини 14,5 фоизга етказиш.</x:v>
      </x:c>
      <x:c r="G22" s="9" t="str">
        <x:v>2026 йил I ярим йиллик</x:v>
      </x:c>
      <x:c r="H22" s="9" t="str">
        <x:v>h1</x:v>
      </x:c>
      <x:c r="I22" s="9" t="str">
        <x:v>Ярим йиллик</x:v>
      </x:c>
      <x:c r="J22" s="9" t="str">
        <x:v>Вилоят</x:v>
      </x:c>
      <x:c r="K22" s="9" t="str">
        <x:v>Андижон вилояти ҳокимлиги</x:v>
      </x:c>
    </x:row>
    <x:row r="23">
      <x:c r="A23" s="9" t="n">
        <x:v>22</x:v>
      </x:c>
      <x:c r="B23" s="9" t="str">
        <x:v>KPI</x:v>
      </x:c>
      <x:c r="C23" s="9" t="str">
        <x:v>K-010</x:v>
      </x:c>
      <x:c r="D23" s="9" t="str">
        <x:v>1.3. Бозор хизматлари</x:v>
      </x:c>
      <x:c r="E23" s="9" t="str">
        <x:v>services</x:v>
      </x:c>
      <x:c r="F23" s="9" t="str">
        <x:v>Йил якунига қадар бозор хизматлари ҳажмини 66,4 трлн сўмга, ўсиш суръатини 15,5 фоизга етказиш.</x:v>
      </x:c>
      <x:c r="G23" s="9" t="str">
        <x:v>2026 йил якуни билан</x:v>
      </x:c>
      <x:c r="H23" s="9" t="str">
        <x:v>year</x:v>
      </x:c>
      <x:c r="I23" s="9" t="str">
        <x:v>Йил якуни</x:v>
      </x:c>
      <x:c r="J23" s="9" t="str">
        <x:v>Вилоят</x:v>
      </x:c>
      <x:c r="K23" s="9" t="str">
        <x:v>Андижон вилояти ҳокимлиги</x:v>
      </x:c>
    </x:row>
    <x:row r="24">
      <x:c r="A24" s="9" t="n">
        <x:v>23</x:v>
      </x:c>
      <x:c r="B24" s="9" t="str">
        <x:v>Чора-тадбирлар</x:v>
      </x:c>
      <x:c r="C24" s="9" t="str">
        <x:v>T-013</x:v>
      </x:c>
      <x:c r="D24" s="9" t="str">
        <x:v>1.3. Бозор хизматлари</x:v>
      </x:c>
      <x:c r="E24" s="9" t="str">
        <x:v>services</x:v>
      </x:c>
      <x:c r="F24" s="9" t="str">
        <x:v>Ҳудудларда туну-кун ишлайдиган (24/7) гавжум кўчалар ташкил этиш бўйича 4 та шаҳар ва туманларининг 6 та кўчаларида қиймати 29,7 млрд сўмлик лойиҳалар амалга ошириб, 77 та янги лойиҳалар ишга туширилиб, 99 та тадбиркорлик субъектлари фаолиятини кенгайтириш ҳисобига 500 га яқин янги иш ўринлари ташкил этиш.</x:v>
      </x:c>
      <x:c r="G24" s="9" t="str">
        <x:v>2026 йил I ярим йиллик</x:v>
      </x:c>
      <x:c r="H24" s="9" t="str">
        <x:v>h1</x:v>
      </x:c>
      <x:c r="I24" s="9" t="str">
        <x:v>Ярим йиллик</x:v>
      </x:c>
      <x:c r="J24" s="9" t="str">
        <x:v>Вилоят</x:v>
      </x:c>
      <x:c r="K24" s="9" t="str">
        <x:v>Андижон вилояти ҳокимлиги</x:v>
      </x:c>
    </x:row>
    <x:row r="25">
      <x:c r="A25" s="9" t="n">
        <x:v>24</x:v>
      </x:c>
      <x:c r="B25" s="9" t="str">
        <x:v>Чора-тадбирлар</x:v>
      </x:c>
      <x:c r="C25" s="9" t="str">
        <x:v>T-014</x:v>
      </x:c>
      <x:c r="D25" s="9" t="str">
        <x:v>1.3. Бозор хизматлари</x:v>
      </x:c>
      <x:c r="E25" s="9" t="str">
        <x:v>services</x:v>
      </x:c>
      <x:c r="F25" s="9" t="str">
        <x:v>Соҳил бўйларида (дарё, канал, кўл) хизматларни ривожлантириш бўйича қиймати 8,9 млрд сўмлик соҳил бўйларида 3 та дам олиш масканлари ва хизмат кўрсатиш шаҳобчалари ташкил этиш.</x:v>
      </x:c>
      <x:c r="G25" s="9" t="str">
        <x:v>2026 йил I ярим йиллик</x:v>
      </x:c>
      <x:c r="H25" s="9" t="str">
        <x:v>h1</x:v>
      </x:c>
      <x:c r="I25" s="9" t="str">
        <x:v>Ярим йиллик</x:v>
      </x:c>
      <x:c r="J25" s="9" t="str">
        <x:v>Вилоят</x:v>
      </x:c>
      <x:c r="K25" s="9" t="str">
        <x:v>Андижон вилояти ҳокимлиги</x:v>
      </x:c>
    </x:row>
    <x:row r="26">
      <x:c r="A26" s="9" t="n">
        <x:v>25</x:v>
      </x:c>
      <x:c r="B26" s="9" t="str">
        <x:v>Чора-тадбирлар</x:v>
      </x:c>
      <x:c r="C26" s="9" t="str">
        <x:v>T-015</x:v>
      </x:c>
      <x:c r="D26" s="9" t="str">
        <x:v>1.3. Бозор хизматлари</x:v>
      </x:c>
      <x:c r="E26" s="9" t="str">
        <x:v>services</x:v>
      </x:c>
      <x:c r="F26" s="9" t="str">
        <x:v>Йўл бўйларида хизмат соҳасини ривожлантириш бўйича 5 та (4 та шаҳар/туманлари) қиймати 12,1 млрд сўмлик 47 та хизмат кўрсатиш шаҳобчалари ташкил этиш.</x:v>
      </x:c>
      <x:c r="G26" s="9" t="str">
        <x:v>2026 йил I ярим йиллик</x:v>
      </x:c>
      <x:c r="H26" s="9" t="str">
        <x:v>h1</x:v>
      </x:c>
      <x:c r="I26" s="9" t="str">
        <x:v>Ярим йиллик</x:v>
      </x:c>
      <x:c r="J26" s="9" t="str">
        <x:v>Вилоят</x:v>
      </x:c>
      <x:c r="K26" s="9" t="str">
        <x:v>Андижон вилояти ҳокимлиги</x:v>
      </x:c>
    </x:row>
    <x:row r="27">
      <x:c r="A27" s="9" t="n">
        <x:v>26</x:v>
      </x:c>
      <x:c r="B27" s="9" t="str">
        <x:v>KPI</x:v>
      </x:c>
      <x:c r="C27" s="9" t="str">
        <x:v>K-011</x:v>
      </x:c>
      <x:c r="D27" s="9" t="str">
        <x:v>1.4. Қишлоқ хўжалиги</x:v>
      </x:c>
      <x:c r="E27" s="9" t="str">
        <x:v>agriculture</x:v>
      </x:c>
      <x:c r="F27" s="9" t="str">
        <x:v>Қишлоқ хўжалиги маҳсулотлари ҳажми 4,2 фоизга ошиб, 21,9 трлн сўмга етказиш.</x:v>
      </x:c>
      <x:c r="G27" s="9" t="str">
        <x:v>2026 йил I ярим йиллик</x:v>
      </x:c>
      <x:c r="H27" s="9" t="str">
        <x:v>h1</x:v>
      </x:c>
      <x:c r="I27" s="9" t="str">
        <x:v>Ярим йиллик</x:v>
      </x:c>
      <x:c r="J27" s="9" t="str">
        <x:v>Вилоят</x:v>
      </x:c>
      <x:c r="K27" s="9" t="str">
        <x:v>Андижон вилояти ҳокимлиги</x:v>
      </x:c>
    </x:row>
    <x:row r="28">
      <x:c r="A28" s="9" t="n">
        <x:v>27</x:v>
      </x:c>
      <x:c r="B28" s="9" t="str">
        <x:v>KPI</x:v>
      </x:c>
      <x:c r="C28" s="9" t="str">
        <x:v>K-012</x:v>
      </x:c>
      <x:c r="D28" s="9" t="str">
        <x:v>1.4. Қишлоқ хўжалиги</x:v>
      </x:c>
      <x:c r="E28" s="9" t="str">
        <x:v>agriculture</x:v>
      </x:c>
      <x:c r="F28" s="9" t="str">
        <x:v>Йил якуни билан қишлоқ хўжалиги маҳсулотлари ҳажми 4,9 фоизга ошиб, 60,3 трлн сўмга етказиш.</x:v>
      </x:c>
      <x:c r="G28" s="9" t="str">
        <x:v>2026 йил якуни билан</x:v>
      </x:c>
      <x:c r="H28" s="9" t="str">
        <x:v>year</x:v>
      </x:c>
      <x:c r="I28" s="9" t="str">
        <x:v>Йил якуни</x:v>
      </x:c>
      <x:c r="J28" s="9" t="str">
        <x:v>Вилоят</x:v>
      </x:c>
      <x:c r="K28" s="9" t="str">
        <x:v>Андижон вилояти ҳокимлиги</x:v>
      </x:c>
    </x:row>
    <x:row r="29">
      <x:c r="A29" s="9" t="n">
        <x:v>28</x:v>
      </x:c>
      <x:c r="B29" s="9" t="str">
        <x:v>Чора-тадбирлар</x:v>
      </x:c>
      <x:c r="C29" s="9" t="str">
        <x:v>T-016</x:v>
      </x:c>
      <x:c r="D29" s="9" t="str">
        <x:v>1.4. Қишлоқ хўжалиги</x:v>
      </x:c>
      <x:c r="E29" s="9" t="str">
        <x:v>agriculture</x:v>
      </x:c>
      <x:c r="F29" s="9" t="str">
        <x:v>Деҳқончилик йўналишида умумий қиймати 424,5 млрд сўмлик 8 та, чорвачилик йўналишида 268,1 млрд сўмлик 38 та янги лойиҳалар ишга тушириш.</x:v>
      </x:c>
      <x:c r="G29" s="9" t="str">
        <x:v>2026 йил I ярим йиллик</x:v>
      </x:c>
      <x:c r="H29" s="9" t="str">
        <x:v>h1</x:v>
      </x:c>
      <x:c r="I29" s="9" t="str">
        <x:v>Ярим йиллик</x:v>
      </x:c>
      <x:c r="J29" s="9" t="str">
        <x:v>Вилоят</x:v>
      </x:c>
      <x:c r="K29" s="9" t="str">
        <x:v>Андижон вилояти ҳокимлиги</x:v>
      </x:c>
    </x:row>
    <x:row r="30">
      <x:c r="A30" s="9" t="n">
        <x:v>29</x:v>
      </x:c>
      <x:c r="B30" s="9" t="str">
        <x:v>KPI</x:v>
      </x:c>
      <x:c r="C30" s="9" t="str">
        <x:v>K-013</x:v>
      </x:c>
      <x:c r="D30" s="9" t="str">
        <x:v>1.5. Қурилиш</x:v>
      </x:c>
      <x:c r="E30" s="9" t="str">
        <x:v>construction</x:v>
      </x:c>
      <x:c r="F30" s="9" t="str">
        <x:v>Қурилиш ишлари ҳажмини 7,1 трлн сўмга етказиб, 11,1 фоизга ўсишини таъминлаш.</x:v>
      </x:c>
      <x:c r="G30" s="9" t="str">
        <x:v>2026 йил I ярим йиллик</x:v>
      </x:c>
      <x:c r="H30" s="9" t="str">
        <x:v>h1</x:v>
      </x:c>
      <x:c r="I30" s="9" t="str">
        <x:v>Ярим йиллик</x:v>
      </x:c>
      <x:c r="J30" s="9" t="str">
        <x:v>Вилоят</x:v>
      </x:c>
      <x:c r="K30" s="9" t="str">
        <x:v>Андижон вилояти ҳокимлиги</x:v>
      </x:c>
    </x:row>
    <x:row r="31">
      <x:c r="A31" s="9" t="n">
        <x:v>30</x:v>
      </x:c>
      <x:c r="B31" s="9" t="str">
        <x:v>Чора-тадбирлар</x:v>
      </x:c>
      <x:c r="C31" s="9" t="str">
        <x:v>T-017</x:v>
      </x:c>
      <x:c r="D31" s="9" t="str">
        <x:v>1.5. Қурилиш</x:v>
      </x:c>
      <x:c r="E31" s="9" t="str">
        <x:v>construction</x:v>
      </x:c>
      <x:c r="F31" s="9" t="str">
        <x:v>30 та хонадонли 1 361 та кўп қаватли уйлар фойдаланишга топшириш.</x:v>
      </x:c>
      <x:c r="G31" s="9" t="str">
        <x:v>2026 йил I ярим йиллик</x:v>
      </x:c>
      <x:c r="H31" s="9" t="str">
        <x:v>h1</x:v>
      </x:c>
      <x:c r="I31" s="9" t="str">
        <x:v>Ярим йиллик</x:v>
      </x:c>
      <x:c r="J31" s="9" t="str">
        <x:v>Вилоят</x:v>
      </x:c>
      <x:c r="K31" s="9" t="str">
        <x:v>Андижон вилояти ҳокимлиги</x:v>
      </x:c>
    </x:row>
    <x:row r="32">
      <x:c r="A32" s="9" t="n">
        <x:v>31</x:v>
      </x:c>
      <x:c r="B32" s="9" t="str">
        <x:v>KPI</x:v>
      </x:c>
      <x:c r="C32" s="9" t="str">
        <x:v>K-014</x:v>
      </x:c>
      <x:c r="D32" s="9" t="str">
        <x:v>1.5. Қурилиш</x:v>
      </x:c>
      <x:c r="E32" s="9" t="str">
        <x:v>construction</x:v>
      </x:c>
      <x:c r="F32" s="9" t="str">
        <x:v>Йил якунига кўра қурилиш ишлари ҳажмини 18,2 трлн сўмга етказиб, 12,5 фоизга ўсишини таъминлаш.</x:v>
      </x:c>
      <x:c r="G32" s="9" t="str">
        <x:v>2026 йил якуни билан</x:v>
      </x:c>
      <x:c r="H32" s="9" t="str">
        <x:v>year</x:v>
      </x:c>
      <x:c r="I32" s="9" t="str">
        <x:v>Йил якуни</x:v>
      </x:c>
      <x:c r="J32" s="9" t="str">
        <x:v>Вилоят</x:v>
      </x:c>
      <x:c r="K32" s="9" t="str">
        <x:v>Андижон вилояти ҳокимлиги</x:v>
      </x:c>
    </x:row>
    <x:row r="33">
      <x:c r="A33" s="9" t="n">
        <x:v>32</x:v>
      </x:c>
      <x:c r="B33" s="9" t="str">
        <x:v>Чора-тадбирлар</x:v>
      </x:c>
      <x:c r="C33" s="9" t="str">
        <x:v>T-018</x:v>
      </x:c>
      <x:c r="D33" s="9" t="str">
        <x:v>1.5. Қурилиш</x:v>
      </x:c>
      <x:c r="E33" s="9" t="str">
        <x:v>construction</x:v>
      </x:c>
      <x:c r="F33" s="9" t="str">
        <x:v>211 та хонадонли 9 525 та кўп қаватли уйлар фойдаланишга топшириш.</x:v>
      </x:c>
      <x:c r="G33" s="9" t="str">
        <x:v>2026 йил якуни билан</x:v>
      </x:c>
      <x:c r="H33" s="9" t="str">
        <x:v>year</x:v>
      </x:c>
      <x:c r="I33" s="9" t="str">
        <x:v>Йил якуни</x:v>
      </x:c>
      <x:c r="J33" s="9" t="str">
        <x:v>Вилоят</x:v>
      </x:c>
      <x:c r="K33" s="9" t="str">
        <x:v>Андижон вилояти ҳокимлиги</x:v>
      </x:c>
    </x:row>
    <x:row r="34">
      <x:c r="A34" s="9" t="n">
        <x:v>33</x:v>
      </x:c>
      <x:c r="B34" s="9" t="str">
        <x:v>KPI</x:v>
      </x:c>
      <x:c r="C34" s="9" t="str">
        <x:v>K-015</x:v>
      </x:c>
      <x:c r="D34" s="9" t="str">
        <x:v>II. Инфляцияни прогнозлар даражасида таъминлаш ва асосий озиқ-овқат нархлари барқарорлигини сақлаш</x:v>
      </x:c>
      <x:c r="E34" s="9" t="str">
        <x:v>inflation</x:v>
      </x:c>
      <x:c r="F34" s="9" t="str">
        <x:v>Инфляция даражасини 2,9 фоиз даражасидан оширмаслик.</x:v>
      </x:c>
      <x:c r="G34" s="9" t="str">
        <x:v>2026 йил I ярим йиллик</x:v>
      </x:c>
      <x:c r="H34" s="9" t="str">
        <x:v>h1</x:v>
      </x:c>
      <x:c r="I34" s="9" t="str">
        <x:v>Ярим йиллик</x:v>
      </x:c>
      <x:c r="J34" s="9" t="str">
        <x:v>Вилоят</x:v>
      </x:c>
      <x:c r="K34" s="9" t="str">
        <x:v>Андижон вилояти ҳокимлиги</x:v>
      </x:c>
    </x:row>
    <x:row r="35">
      <x:c r="A35" s="9" t="n">
        <x:v>34</x:v>
      </x:c>
      <x:c r="B35" s="9" t="str">
        <x:v>KPI</x:v>
      </x:c>
      <x:c r="C35" s="9" t="str">
        <x:v>K-016</x:v>
      </x:c>
      <x:c r="D35" s="9" t="str">
        <x:v>II. Инфляцияни прогнозлар даражасида таъминлаш ва асосий озиқ-овқат нархлари барқарорлигини сақлаш</x:v>
      </x:c>
      <x:c r="E35" s="9" t="str">
        <x:v>inflation</x:v>
      </x:c>
      <x:c r="F35" s="9" t="str">
        <x:v>Инфляция даражасини йил якуни билан 6,6 фоиз даражасидан оширмаслик.</x:v>
      </x:c>
      <x:c r="G35" s="9" t="str">
        <x:v>2026 йил якуни билан</x:v>
      </x:c>
      <x:c r="H35" s="9" t="str">
        <x:v>year</x:v>
      </x:c>
      <x:c r="I35" s="9" t="str">
        <x:v>Йил якуни</x:v>
      </x:c>
      <x:c r="J35" s="9" t="str">
        <x:v>Вилоят</x:v>
      </x:c>
      <x:c r="K35" s="9" t="str">
        <x:v>Андижон вилояти ҳокимлиги</x:v>
      </x:c>
    </x:row>
    <x:row r="36">
      <x:c r="A36" s="9" t="n">
        <x:v>35</x:v>
      </x:c>
      <x:c r="B36" s="9" t="str">
        <x:v>Чора-тадбирлар</x:v>
      </x:c>
      <x:c r="C36" s="9" t="str">
        <x:v>T-019</x:v>
      </x:c>
      <x:c r="D36" s="9" t="str">
        <x:v>II. Инфляцияни прогнозлар даражасида таъминлаш ва асосий озиқ-овқат нархлари барқарорлигини сақлаш</x:v>
      </x:c>
      <x:c r="E36" s="9" t="str">
        <x:v>inflation</x:v>
      </x:c>
      <x:c r="F36" s="9" t="str">
        <x:v>Асосий озиқ-овқат маҳсулотлари йиллик нархларини барқарор сақлаш, бунда: гўшт ва гўшт маҳсулотларини 6-7 фоиздан; тухум 5-6 фоиз; сут ва сут маҳсулотлари 6-7 фоиз; картошка 4-5 фоиз; пиёз 5 фоиздан; сабзи 5 фоиздан оширмаслик;</x:v>
      </x:c>
      <x:c r="G36" s="9" t="str">
        <x:v>2026 йил давомида</x:v>
      </x:c>
      <x:c r="H36" s="9" t="str">
        <x:v>year</x:v>
      </x:c>
      <x:c r="I36" s="9" t="str">
        <x:v>Доимий / давомида</x:v>
      </x:c>
      <x:c r="J36" s="9" t="str">
        <x:v>Вилоят</x:v>
      </x:c>
      <x:c r="K36" s="9" t="str">
        <x:v>Андижон вилояти ҳокимлиги</x:v>
      </x:c>
    </x:row>
    <x:row r="37">
      <x:c r="A37" s="9" t="n">
        <x:v>36</x:v>
      </x:c>
      <x:c r="B37" s="9" t="str">
        <x:v>Чора-тадбирлар</x:v>
      </x:c>
      <x:c r="C37" s="9" t="str">
        <x:v>T-020</x:v>
      </x:c>
      <x:c r="D37" s="9" t="str">
        <x:v>II. Инфляцияни прогнозлар даражасида таъминлаш ва асосий озиқ-овқат нархлари барқарорлигини сақлаш</x:v>
      </x:c>
      <x:c r="E37" s="9" t="str">
        <x:v>inflation</x:v>
      </x:c>
      <x:c r="F37" s="9" t="str">
        <x:v>Помидор, бодринг ва мевалар нархига мавсумий омиллар таъсирини пасайтириш.</x:v>
      </x:c>
      <x:c r="G37" s="9" t="str">
        <x:v>2026 йил давомида</x:v>
      </x:c>
      <x:c r="H37" s="9" t="str">
        <x:v>year</x:v>
      </x:c>
      <x:c r="I37" s="9" t="str">
        <x:v>Доимий / давомида</x:v>
      </x:c>
      <x:c r="J37" s="9" t="str">
        <x:v>Вилоят</x:v>
      </x:c>
      <x:c r="K37" s="9" t="str">
        <x:v>Андижон вилояти ҳокимлиги</x:v>
      </x:c>
    </x:row>
    <x:row r="38">
      <x:c r="A38" s="9" t="n">
        <x:v>37</x:v>
      </x:c>
      <x:c r="B38" s="9" t="str">
        <x:v>Чора-тадбирлар</x:v>
      </x:c>
      <x:c r="C38" s="9" t="str">
        <x:v>T-021</x:v>
      </x:c>
      <x:c r="D38" s="9" t="str">
        <x:v>II. Инфляцияни прогнозлар даражасида таъминлаш ва асосий озиқ-овқат нархлари барқарорлигини сақлаш</x:v>
      </x:c>
      <x:c r="E38" s="9" t="str">
        <x:v>inflation</x:v>
      </x:c>
      <x:c r="F38" s="9" t="str">
        <x:v>Гуруч нархини 2025 йил даражасида сақлаб туриш.</x:v>
      </x:c>
      <x:c r="G38" s="9" t="str">
        <x:v>2026 йил давомида</x:v>
      </x:c>
      <x:c r="H38" s="9" t="str">
        <x:v>year</x:v>
      </x:c>
      <x:c r="I38" s="9" t="str">
        <x:v>Доимий / давомида</x:v>
      </x:c>
      <x:c r="J38" s="9" t="str">
        <x:v>Вилоят</x:v>
      </x:c>
      <x:c r="K38" s="9" t="str">
        <x:v>Андижон вилояти ҳокимлиги</x:v>
      </x:c>
    </x:row>
    <x:row r="39">
      <x:c r="A39" s="9" t="n">
        <x:v>38</x:v>
      </x:c>
      <x:c r="B39" s="9" t="str">
        <x:v>Чора-тадбирлар</x:v>
      </x:c>
      <x:c r="C39" s="9" t="str">
        <x:v>T-022</x:v>
      </x:c>
      <x:c r="D39" s="9" t="str">
        <x:v>II. Инфляцияни прогнозлар даражасида таъминлаш ва асосий озиқ-овқат нархлари барқарорлигини сақлаш</x:v>
      </x:c>
      <x:c r="E39" s="9" t="str">
        <x:v>inflation</x:v>
      </x:c>
      <x:c r="F39" s="9" t="str">
        <x:v>Уннинг ўртача нархларини 2025 йил даражасида сақлаш.</x:v>
      </x:c>
      <x:c r="G39" s="9" t="str">
        <x:v>2026 йил давомида</x:v>
      </x:c>
      <x:c r="H39" s="9" t="str">
        <x:v>year</x:v>
      </x:c>
      <x:c r="I39" s="9" t="str">
        <x:v>Доимий / давомида</x:v>
      </x:c>
      <x:c r="J39" s="9" t="str">
        <x:v>Вилоят</x:v>
      </x:c>
      <x:c r="K39" s="9" t="str">
        <x:v>Андижон вилояти ҳокимлиги</x:v>
      </x:c>
    </x:row>
    <x:row r="40">
      <x:c r="A40" s="9" t="n">
        <x:v>39</x:v>
      </x:c>
      <x:c r="B40" s="9" t="str">
        <x:v>Чора-тадбирлар</x:v>
      </x:c>
      <x:c r="C40" s="9" t="str">
        <x:v>T-023</x:v>
      </x:c>
      <x:c r="D40" s="9" t="str">
        <x:v>II. Инфляцияни прогнозлар даражасида таъминлаш ва асосий озиқ-овқат нархлари барқарорлигини сақлаш</x:v>
      </x:c>
      <x:c r="E40" s="9" t="str">
        <x:v>inflation</x:v>
      </x:c>
      <x:c r="F40" s="9" t="str">
        <x:v>Коммунал хизмат тарифлари режа график асосида Иқтисодиёт ва молия вазирлиги билан келишган ҳолда қайта кўриб чиқилади. Жумладан, ичимлик суви таъминоти ва оқова сув хизматлари 50 фоиз, маиший чиқинди ташиш 10 фоиз ҳамда жамоат транспорти хизматлари тарифларини 10 фоиздан юқори даражада оширмаслик</x:v>
      </x:c>
      <x:c r="G40" s="9" t="str">
        <x:v>2026 йил давомида</x:v>
      </x:c>
      <x:c r="H40" s="9" t="str">
        <x:v>year</x:v>
      </x:c>
      <x:c r="I40" s="9" t="str">
        <x:v>Доимий / давомида</x:v>
      </x:c>
      <x:c r="J40" s="9" t="str">
        <x:v>Вилоят</x:v>
      </x:c>
      <x:c r="K40" s="9" t="str">
        <x:v>Андижон вилояти ҳокимлиги</x:v>
      </x:c>
    </x:row>
    <x:row r="41">
      <x:c r="A41" s="9" t="n">
        <x:v>40</x:v>
      </x:c>
      <x:c r="B41" s="9" t="str">
        <x:v>Чора-тадбирлар</x:v>
      </x:c>
      <x:c r="C41" s="9" t="str">
        <x:v>T-024</x:v>
      </x:c>
      <x:c r="D41" s="9" t="str">
        <x:v>II. Инфляцияни прогнозлар даражасида таъминлаш ва асосий озиқ-овқат нархлари барқарорлигини сақлаш</x:v>
      </x:c>
      <x:c r="E41" s="9" t="str">
        <x:v>inflation</x:v>
      </x:c>
      <x:c r="F41" s="9" t="str">
        <x:v>Аҳоли истеъмоли учун ҳар ой 9 минг 878 тонна мол гўшти, 2 минг 334 тонна қўй гўшти, 2 минг 275 тонна парранда гўшти етказиб бериш.</x:v>
      </x:c>
      <x:c r="G41" s="9" t="str">
        <x:v>2026 йил давомида, ҳар ой</x:v>
      </x:c>
      <x:c r="H41" s="9" t="str">
        <x:v>year</x:v>
      </x:c>
      <x:c r="I41" s="9" t="str">
        <x:v>Ҳар ой</x:v>
      </x:c>
      <x:c r="J41" s="9" t="str">
        <x:v>Вилоят</x:v>
      </x:c>
      <x:c r="K41" s="9" t="str">
        <x:v>Андижон вилояти ҳокимлиги</x:v>
      </x:c>
    </x:row>
    <x:row r="42">
      <x:c r="A42" s="9" t="n">
        <x:v>41</x:v>
      </x:c>
      <x:c r="B42" s="9" t="str">
        <x:v>Чора-тадбирлар</x:v>
      </x:c>
      <x:c r="C42" s="9" t="str">
        <x:v>T-025</x:v>
      </x:c>
      <x:c r="D42" s="9" t="str">
        <x:v>II. Инфляцияни прогнозлар даражасида таъминлаш ва асосий озиқ-овқат нархлари барқарорлигини сақлаш</x:v>
      </x:c>
      <x:c r="E42" s="9" t="str">
        <x:v>inflation</x:v>
      </x:c>
      <x:c r="F42" s="9" t="str">
        <x:v>Биринчи ярим йиллик якуни билан вилоятда жами 1 минг 300 тонна сиғимли совутгичли 4 та мева-сабзавот маҳсулотларини сақловчи совутгичли омборлар ишга тушириш.</x:v>
      </x:c>
      <x:c r="G42" s="9" t="str">
        <x:v>2026 йил I ярим йиллик</x:v>
      </x:c>
      <x:c r="H42" s="9" t="str">
        <x:v>h1</x:v>
      </x:c>
      <x:c r="I42" s="9" t="str">
        <x:v>Ярим йиллик</x:v>
      </x:c>
      <x:c r="J42" s="9" t="str">
        <x:v>Вилоят</x:v>
      </x:c>
      <x:c r="K42" s="9" t="str">
        <x:v>Андижон вилояти ҳокимлиги</x:v>
      </x:c>
    </x:row>
    <x:row r="43">
      <x:c r="A43" s="9" t="n">
        <x:v>42</x:v>
      </x:c>
      <x:c r="B43" s="9" t="str">
        <x:v>Чора-тадбирлар</x:v>
      </x:c>
      <x:c r="C43" s="9" t="str">
        <x:v>T-026</x:v>
      </x:c>
      <x:c r="D43" s="9" t="str">
        <x:v>II. Инфляцияни прогнозлар даражасида таъминлаш ва асосий озиқ-овқат нархлари барқарорлигини сақлаш</x:v>
      </x:c>
      <x:c r="E43" s="9" t="str">
        <x:v>inflation</x:v>
      </x:c>
      <x:c r="F43" s="9" t="str">
        <x:v>Вилоятда жами 8 810 тонна сиғимли 33 та мева-сабзавот маҳсулотларини сақловчи совутгичли омборлар ташкил этиш.</x:v>
      </x:c>
      <x:c r="G43" s="9" t="str">
        <x:v>2026 йил якуни билан</x:v>
      </x:c>
      <x:c r="H43" s="9" t="str">
        <x:v>year</x:v>
      </x:c>
      <x:c r="I43" s="9" t="str">
        <x:v>Йил якуни</x:v>
      </x:c>
      <x:c r="J43" s="9" t="str">
        <x:v>Вилоят</x:v>
      </x:c>
      <x:c r="K43" s="9" t="str">
        <x:v>Андижон вилояти ҳокимлиги</x:v>
      </x:c>
    </x:row>
    <x:row r="44">
      <x:c r="A44" s="9" t="n">
        <x:v>43</x:v>
      </x:c>
      <x:c r="B44" s="9" t="str">
        <x:v>Чора-тадбирлар</x:v>
      </x:c>
      <x:c r="C44" s="9" t="str">
        <x:v>T-027</x:v>
      </x:c>
      <x:c r="D44" s="9" t="str">
        <x:v>II. Инфляцияни прогнозлар даражасида таъминлаш ва асосий озиқ-овқат нархлари барқарорлигини сақлаш</x:v>
      </x:c>
      <x:c r="E44" s="9" t="str">
        <x:v>inflation</x:v>
      </x:c>
      <x:c r="F44" s="9" t="str">
        <x:v>Биринчи ярим йил якунигача вилоятда 800 бош наслли қорамол, 950 бош майда шохли қорамол хориждан олиб келиш.</x:v>
      </x:c>
      <x:c r="G44" s="9" t="str">
        <x:v>2026 йил I ярим йиллик</x:v>
      </x:c>
      <x:c r="H44" s="9" t="str">
        <x:v>h1</x:v>
      </x:c>
      <x:c r="I44" s="9" t="str">
        <x:v>Ярим йиллик</x:v>
      </x:c>
      <x:c r="J44" s="9" t="str">
        <x:v>Вилоят</x:v>
      </x:c>
      <x:c r="K44" s="9" t="str">
        <x:v>Андижон вилояти ҳокимлиги</x:v>
      </x:c>
    </x:row>
    <x:row r="45">
      <x:c r="A45" s="9" t="n">
        <x:v>44</x:v>
      </x:c>
      <x:c r="B45" s="9" t="str">
        <x:v>Чора-тадбирлар</x:v>
      </x:c>
      <x:c r="C45" s="9" t="str">
        <x:v>T-028</x:v>
      </x:c>
      <x:c r="D45" s="9" t="str">
        <x:v>II. Инфляцияни прогнозлар даражасида таъминлаш ва асосий озиқ-овқат нархлари барқарорлигини сақлаш</x:v>
      </x:c>
      <x:c r="E45" s="9" t="str">
        <x:v>inflation</x:v>
      </x:c>
      <x:c r="F45" s="9" t="str">
        <x:v>Йил якунигача вилоятда 1000 бош наслли қорамол, 970 бош майда шохли қорамол хориждан олиб келиш.</x:v>
      </x:c>
      <x:c r="G45" s="9" t="str">
        <x:v>2026 йил якуни билан</x:v>
      </x:c>
      <x:c r="H45" s="9" t="str">
        <x:v>year</x:v>
      </x:c>
      <x:c r="I45" s="9" t="str">
        <x:v>Йил якуни</x:v>
      </x:c>
      <x:c r="J45" s="9" t="str">
        <x:v>Вилоят</x:v>
      </x:c>
      <x:c r="K45" s="9" t="str">
        <x:v>Андижон вилояти ҳокимлиги</x:v>
      </x:c>
    </x:row>
    <x:row r="46">
      <x:c r="A46" s="9" t="n">
        <x:v>45</x:v>
      </x:c>
      <x:c r="B46" s="9" t="str">
        <x:v>Чора-тадбирлар</x:v>
      </x:c>
      <x:c r="C46" s="9" t="str">
        <x:v>T-029</x:v>
      </x:c>
      <x:c r="D46" s="9" t="str">
        <x:v>II. Инфляцияни прогнозлар даражасида таъминлаш ва асосий озиқ-овқат нархлари барқарорлигини сақлаш</x:v>
      </x:c>
      <x:c r="E46" s="9" t="str">
        <x:v>inflation</x:v>
      </x:c>
      <x:c r="F46" s="9" t="str">
        <x:v>Вилоятда озуқа базасини мустаҳкамлаш учун жорий йилда жами 36,9 минг гектарга, шундан 18,9 минг гектар асосий ер майдонларига ва 18 минг гектар ғалладан бўшаган ер майдонларига озуқабоп экинлар экиш.</x:v>
      </x:c>
      <x:c r="G46" s="9" t="str">
        <x:v>2026 йил якуни билан</x:v>
      </x:c>
      <x:c r="H46" s="9" t="str">
        <x:v>year</x:v>
      </x:c>
      <x:c r="I46" s="9" t="str">
        <x:v>Йил якуни</x:v>
      </x:c>
      <x:c r="J46" s="9" t="str">
        <x:v>Вилоят</x:v>
      </x:c>
      <x:c r="K46" s="9" t="str">
        <x:v>Андижон вилояти ҳокимлиги</x:v>
      </x:c>
    </x:row>
    <x:row r="47">
      <x:c r="A47" s="9" t="n">
        <x:v>46</x:v>
      </x:c>
      <x:c r="B47" s="9" t="str">
        <x:v>Чора-тадбирлар</x:v>
      </x:c>
      <x:c r="C47" s="9" t="str">
        <x:v>T-030</x:v>
      </x:c>
      <x:c r="D47" s="9" t="str">
        <x:v>II. Инфляцияни прогнозлар даражасида таъминлаш ва асосий озиқ-овқат нархлари барқарорлигини сақлаш</x:v>
      </x:c>
      <x:c r="E47" s="9" t="str">
        <x:v>inflation</x:v>
      </x:c>
      <x:c r="F47" s="9" t="str">
        <x:v>Аҳолини асосий турдаги озиқ-овқат маҳсулотлари билан таъминлаш захира жамғармаси маблағлари маҳаллий бюджетларнинг орттириб бажарилган қисмидан 2026 йил якунигача 50 млрд сўмга етказиш.</x:v>
      </x:c>
      <x:c r="G47" s="9" t="str">
        <x:v>2026 йил якуни билан</x:v>
      </x:c>
      <x:c r="H47" s="9" t="str">
        <x:v>year</x:v>
      </x:c>
      <x:c r="I47" s="9" t="str">
        <x:v>Йил якуни</x:v>
      </x:c>
      <x:c r="J47" s="9" t="str">
        <x:v>Вилоят</x:v>
      </x:c>
      <x:c r="K47" s="9" t="str">
        <x:v>Андижон вилояти ҳокимлиги</x:v>
      </x:c>
    </x:row>
    <x:row r="48">
      <x:c r="A48" s="9" t="n">
        <x:v>47</x:v>
      </x:c>
      <x:c r="B48" s="9" t="str">
        <x:v>Чора-тадбирлар</x:v>
      </x:c>
      <x:c r="C48" s="9" t="str">
        <x:v>T-031</x:v>
      </x:c>
      <x:c r="D48" s="9" t="str">
        <x:v>II. Инфляцияни прогнозлар даражасида таъминлаш ва асосий озиқ-овқат нархлари барқарорлигини сақлаш</x:v>
      </x:c>
      <x:c r="E48" s="9" t="str">
        <x:v>inflation</x:v>
      </x:c>
      <x:c r="F48" s="9" t="str">
        <x:v>Қурбон ҳайити арафасида аҳоли учун вилоятда жами 17 та арзонлаштирилган ярмаркалар ташкиллаштириш. Бунда, жами 850 тонна мол гўшти, 510 тонна қўй гўшти, 340 тонна парранда гўшти, 3 минг 700 тонна картошка, 5 минг 100 тонна сабзи, 5 минг 950 тонна пиёз, 850 тонна гуруч, 440 тонна ўсимлик ёғи, 30,6 тонна ун, 22 тонна шакар ва 27 млн. 300 минг дона товуқ тухуми билан таъминлаш.</x:v>
      </x:c>
      <x:c r="G48" s="9" t="str">
        <x:v>2026 йил май ойи</x:v>
      </x:c>
      <x:c r="H48" s="9" t="str">
        <x:v>h1</x:v>
      </x:c>
      <x:c r="I48" s="9" t="str">
        <x:v>Ярим йиллик</x:v>
      </x:c>
      <x:c r="J48" s="9" t="str">
        <x:v>Вилоят</x:v>
      </x:c>
      <x:c r="K48" s="9" t="str">
        <x:v>Андижон вилояти ҳокимлиги</x:v>
      </x:c>
    </x:row>
    <x:row r="49">
      <x:c r="A49" s="9" t="n">
        <x:v>48</x:v>
      </x:c>
      <x:c r="B49" s="9" t="str">
        <x:v>KPI</x:v>
      </x:c>
      <x:c r="C49" s="9" t="str">
        <x:v>K-017</x:v>
      </x:c>
      <x:c r="D49" s="9" t="str">
        <x:v>III. Бюджет тушумлари прогнозини таъминлаш</x:v>
      </x:c>
      <x:c r="E49" s="9" t="str">
        <x:v>budget</x:v>
      </x:c>
      <x:c r="F49" s="9" t="str">
        <x:v>Вилоят бўйича 2026 йил 2-чорак учун 1 273 млрд сўм даромадларга эришиш.</x:v>
      </x:c>
      <x:c r="G49" s="9" t="str">
        <x:v>2026 йил I ярим йиллик</x:v>
      </x:c>
      <x:c r="H49" s="9" t="str">
        <x:v>h1</x:v>
      </x:c>
      <x:c r="I49" s="9" t="str">
        <x:v>Ярим йиллик</x:v>
      </x:c>
      <x:c r="J49" s="9" t="str">
        <x:v>Вилоят</x:v>
      </x:c>
      <x:c r="K49" s="9" t="str">
        <x:v>Андижон вилояти ҳокимлиги</x:v>
      </x:c>
    </x:row>
    <x:row r="50">
      <x:c r="A50" s="9" t="n">
        <x:v>49</x:v>
      </x:c>
      <x:c r="B50" s="9" t="str">
        <x:v>Чора-тадбирлар</x:v>
      </x:c>
      <x:c r="C50" s="9" t="str">
        <x:v>T-032</x:v>
      </x:c>
      <x:c r="D50" s="9" t="str">
        <x:v>III. Бюджет тушумлари прогнозини таъминлаш</x:v>
      </x:c>
      <x:c r="E50" s="9" t="str">
        <x:v>budget</x:v>
      </x:c>
      <x:c r="F50" s="9" t="str">
        <x:v>Яширин иқтисодиётга қарши курашиш, солиқ тўловчилар иқтисодий фаоллигини ошириш ҳамда солиқ қарздорликларини ундириш ҳисобига қўшимча 117,4 млрд сўм даромад ундириш топшириғини тўлиқ таъминлаш. Бунда, биринчи ярим йилликда: – қурилиш соҳасида яширин иқтисодиётни улушини қисқартириш ҳисобига 22 млрд сўм; – саноат соҳасида солиқ маъмурчилигини яхшилаш ва яширин айланмаларни қисқартириш ҳисобига 36 млрд сўм; – савдо соҳасида айланмаларни тўлиқ расмийлаштириш орқали солиқ базасини соядан чиқариш ҳисобига 20 млрд сўм; – хизмат кўрсатиш соҳасида солиқ маъмурчилигини яхшилаш ва яширин айланмаларни қисқартириш ҳисобига 17 млрд сўм; – транспорт хизматлари ҳажмини тўлиқ ҳисобга олиш ва тўловларни расмийлаштириш, норасмий ишловчиларни легаллаштириш ҳамда бошқа йўналишлар ҳисобига 22 млрд сўм қўшимча тушум таъминлаш. Натижада, жорий йил бюджет даромадлари прогнози 1-ярим йилликда 2 599 млрд сўмга (режага нисбатан 7,9%, 2025 йил 1-ярмига нисбатан ўсиш – 19,1%) бажарилади ва бюджетга қўшимча 191 млрд сўм ундирилади, 2026 йил якунига қадар йиллик прогноз 5 889 млрд сўмга бажарилиши (режа 11,1 %га, 2025 йилга нисбатан ўсиш 18,4%) ва бюджетга қўшимча 590 млрд сўм тушум тушишини таъминлаш.</x:v>
      </x:c>
      <x:c r="G50" s="9" t="str">
        <x:v>2026 йил I ярим йиллик</x:v>
      </x:c>
      <x:c r="H50" s="9" t="str">
        <x:v>h1</x:v>
      </x:c>
      <x:c r="I50" s="9" t="str">
        <x:v>Ярим йиллик</x:v>
      </x:c>
      <x:c r="J50" s="9" t="str">
        <x:v>Вилоят</x:v>
      </x:c>
      <x:c r="K50" s="9" t="str">
        <x:v>Андижон вилояти ҳокимлиги</x:v>
      </x:c>
    </x:row>
    <x:row r="51">
      <x:c r="A51" s="9" t="n">
        <x:v>50</x:v>
      </x:c>
      <x:c r="B51" s="9" t="str">
        <x:v>KPI</x:v>
      </x:c>
      <x:c r="C51" s="9" t="str">
        <x:v>K-018</x:v>
      </x:c>
      <x:c r="D51" s="9" t="str">
        <x:v>IV. Инвестицияларни ўзлаштириш</x:v>
      </x:c>
      <x:c r="E51" s="9" t="str">
        <x:v>budget_investment</x:v>
      </x:c>
      <x:c r="F51" s="9" t="str">
        <x:v>444 млрд сўмлик (йиллик лимитга нисбатан – 45 %) бюджет маблағлари ўзлаштириш.</x:v>
      </x:c>
      <x:c r="G51" s="9" t="str">
        <x:v>2026 йил I ярим йиллик</x:v>
      </x:c>
      <x:c r="H51" s="9" t="str">
        <x:v>h1</x:v>
      </x:c>
      <x:c r="I51" s="9" t="str">
        <x:v>Ярим йиллик</x:v>
      </x:c>
      <x:c r="J51" s="9" t="str">
        <x:v>Вилоят</x:v>
      </x:c>
      <x:c r="K51" s="9" t="str">
        <x:v>Андижон вилояти ҳокимлиги</x:v>
      </x:c>
    </x:row>
    <x:row r="52">
      <x:c r="A52" s="9" t="n">
        <x:v>51</x:v>
      </x:c>
      <x:c r="B52" s="9" t="str">
        <x:v>Чора-тадбирлар</x:v>
      </x:c>
      <x:c r="C52" s="9" t="str">
        <x:v>T-033</x:v>
      </x:c>
      <x:c r="D52" s="9" t="str">
        <x:v>IV. Инвестицияларни ўзлаштириш</x:v>
      </x:c>
      <x:c r="E52" s="9" t="str">
        <x:v>budget_investment</x:v>
      </x:c>
      <x:c r="F52" s="9" t="str">
        <x:v>Вилоят ҳокимлиги буюртмачилигида – I ярим йилликда 230 млрд сўм (йиллик лимитга нисбатан – 46,8 %) бюджет маблағлари ўзлаштириш.</x:v>
      </x:c>
      <x:c r="G52" s="9" t="str">
        <x:v>2026 йил I ярим йиллик</x:v>
      </x:c>
      <x:c r="H52" s="9" t="str">
        <x:v>h1</x:v>
      </x:c>
      <x:c r="I52" s="9" t="str">
        <x:v>Ярим йиллик</x:v>
      </x:c>
      <x:c r="J52" s="9" t="str">
        <x:v>Вилоят</x:v>
      </x:c>
      <x:c r="K52" s="9" t="str">
        <x:v>Андижон вилояти ҳокимлиги</x:v>
      </x:c>
    </x:row>
    <x:row r="53">
      <x:c r="A53" s="9" t="n">
        <x:v>52</x:v>
      </x:c>
      <x:c r="B53" s="9" t="str">
        <x:v>KPI</x:v>
      </x:c>
      <x:c r="C53" s="9" t="str">
        <x:v>K-019</x:v>
      </x:c>
      <x:c r="D53" s="9" t="str">
        <x:v>IV. Инвестицияларни ўзлаштириш</x:v>
      </x:c>
      <x:c r="E53" s="9" t="str">
        <x:v>budget_investment</x:v>
      </x:c>
      <x:c r="F53" s="9" t="str">
        <x:v>1 трлн 25 млрд сўмлик бюджет маблағлари ўзлаштириш.</x:v>
      </x:c>
      <x:c r="G53" s="9" t="str">
        <x:v>2026 йил якуни билан</x:v>
      </x:c>
      <x:c r="H53" s="9" t="str">
        <x:v>year</x:v>
      </x:c>
      <x:c r="I53" s="9" t="str">
        <x:v>Йил якуни</x:v>
      </x:c>
      <x:c r="J53" s="9" t="str">
        <x:v>Вилоят</x:v>
      </x:c>
      <x:c r="K53" s="9" t="str">
        <x:v>Андижон вилояти ҳокимлиги</x:v>
      </x:c>
    </x:row>
    <x:row r="54">
      <x:c r="A54" s="9" t="n">
        <x:v>53</x:v>
      </x:c>
      <x:c r="B54" s="9" t="str">
        <x:v>Чора-тадбирлар</x:v>
      </x:c>
      <x:c r="C54" s="9" t="str">
        <x:v>T-034</x:v>
      </x:c>
      <x:c r="D54" s="9" t="str">
        <x:v>IV. Инвестицияларни ўзлаштириш</x:v>
      </x:c>
      <x:c r="E54" s="9" t="str">
        <x:v>budget_investment</x:v>
      </x:c>
      <x:c r="F54" s="9" t="str">
        <x:v>Вилоят ҳокимлиги буюртмачилигида 513 млрд сўм бюджет маблағлари ўзлаштириш.</x:v>
      </x:c>
      <x:c r="G54" s="9" t="str">
        <x:v>2026 йил якуни билан</x:v>
      </x:c>
      <x:c r="H54" s="9" t="str">
        <x:v>year</x:v>
      </x:c>
      <x:c r="I54" s="9" t="str">
        <x:v>Йил якуни</x:v>
      </x:c>
      <x:c r="J54" s="9" t="str">
        <x:v>Вилоят</x:v>
      </x:c>
      <x:c r="K54" s="9" t="str">
        <x:v>Андижон вилояти ҳокимлиги</x:v>
      </x:c>
    </x:row>
    <x:row r="55">
      <x:c r="A55" s="9" t="n">
        <x:v>54</x:v>
      </x:c>
      <x:c r="B55" s="9" t="str">
        <x:v>Чора-тадбирлар</x:v>
      </x:c>
      <x:c r="C55" s="9" t="str">
        <x:v>T-035</x:v>
      </x:c>
      <x:c r="D55" s="9" t="str">
        <x:v>IV. Инвестицияларни ўзлаштириш</x:v>
      </x:c>
      <x:c r="E55" s="9" t="str">
        <x:v>budget_investment</x:v>
      </x:c>
      <x:c r="F55" s="9" t="str">
        <x:v>Жорий йилнинг I чорагида молиялаштириш очилмаган 16 та объект бўйича 1 ҳафта муддатда лойиҳа ҳужжатларини ишлаб чиқиш, экспертизадан ўтказиш ва пудрат ташкилотини аниқлаш ҳамда қурилиш-таъмирлаш ишларини амалга ошириш таъминлаш. Шундан, вилоят ҳокимлиги буюртмачилигида – 10 та объект.</x:v>
      </x:c>
      <x:c r="G55" s="9" t="str">
        <x:v>2026 йил I ярим йиллик</x:v>
      </x:c>
      <x:c r="H55" s="9" t="str">
        <x:v>h1</x:v>
      </x:c>
      <x:c r="I55" s="9" t="str">
        <x:v>Ярим йиллик</x:v>
      </x:c>
      <x:c r="J55" s="9" t="str">
        <x:v>Вилоят</x:v>
      </x:c>
      <x:c r="K55" s="9" t="str">
        <x:v>Андижон вилояти ҳокимлиги</x:v>
      </x:c>
    </x:row>
    <x:row r="56">
      <x:c r="A56" s="9" t="n">
        <x:v>55</x:v>
      </x:c>
      <x:c r="B56" s="9" t="str">
        <x:v>Чора-тадбирлар</x:v>
      </x:c>
      <x:c r="C56" s="9" t="str">
        <x:v>T-036</x:v>
      </x:c>
      <x:c r="D56" s="9" t="str">
        <x:v>IV. Инвестицияларни ўзлаштириш</x:v>
      </x:c>
      <x:c r="E56" s="9" t="str">
        <x:v>budget_investment</x:v>
      </x:c>
      <x:c r="F56" s="9" t="str">
        <x:v>Йил якуни билан жами 96 та объект фойдаланишга топшириш. Шундан, вилоят ҳокимлиги буюртмачилигида – 60 та. Натижада 11 224 та янги ўқув ўрни, 1 730 та ўринли боғча, 255 та ўринли ва 400 та қатновли тиббиёт муассасаси, 47,4 км ичимлик ва оқава сув тармоғи, 10,6 км иссиқлик тармоғи, 10 км автомобиль йўллари, 41,7 км каналлар, 4,5 км коллектор қувватларини ишга тушириш.</x:v>
      </x:c>
      <x:c r="G56" s="9" t="str">
        <x:v>2026 йил якуни билан</x:v>
      </x:c>
      <x:c r="H56" s="9" t="str">
        <x:v>year</x:v>
      </x:c>
      <x:c r="I56" s="9" t="str">
        <x:v>Йил якуни</x:v>
      </x:c>
      <x:c r="J56" s="9" t="str">
        <x:v>Вилоят</x:v>
      </x:c>
      <x:c r="K56" s="9" t="str">
        <x:v>Андижон вилояти ҳокимлиги</x:v>
      </x:c>
    </x:row>
    <x:row r="57">
      <x:c r="A57" s="9" t="n">
        <x:v>56</x:v>
      </x:c>
      <x:c r="B57" s="9" t="str">
        <x:v>KPI</x:v>
      </x:c>
      <x:c r="C57" s="9" t="str">
        <x:v>K-020</x:v>
      </x:c>
      <x:c r="D57" s="9" t="str">
        <x:v>V.Хорижий инвестицияларни жалб қилиш</x:v>
      </x:c>
      <x:c r="E57" s="9" t="str">
        <x:v>investment</x:v>
      </x:c>
      <x:c r="F57" s="9" t="str">
        <x:v>Инвестиция дастури доирасида 1 783 млн долларлик (ўсиш – 2,1 бар.) инвестициялар ва кредитларни жалб қилиш.</x:v>
      </x:c>
      <x:c r="G57" s="9" t="str">
        <x:v>2026 йил I ярим йиллик</x:v>
      </x:c>
      <x:c r="H57" s="9" t="str">
        <x:v>h1</x:v>
      </x:c>
      <x:c r="I57" s="9" t="str">
        <x:v>Ярим йиллик</x:v>
      </x:c>
      <x:c r="J57" s="9" t="str">
        <x:v>Вилоят</x:v>
      </x:c>
      <x:c r="K57" s="9" t="str">
        <x:v>Андижон вилояти ҳокимлиги</x:v>
      </x:c>
    </x:row>
    <x:row r="58">
      <x:c r="A58" s="9" t="n">
        <x:v>57</x:v>
      </x:c>
      <x:c r="B58" s="9" t="str">
        <x:v>KPI</x:v>
      </x:c>
      <x:c r="C58" s="9" t="str">
        <x:v>K-021</x:v>
      </x:c>
      <x:c r="D58" s="9" t="str">
        <x:v>V.Хорижий инвестицияларни жалб қилиш</x:v>
      </x:c>
      <x:c r="E58" s="9" t="str">
        <x:v>investment</x:v>
      </x:c>
      <x:c r="F58" s="9" t="str">
        <x:v>3,5 млрд долларлик (1,8 баробар) хорижий инвестициялар ва кредитларни жалб қилиш.</x:v>
      </x:c>
      <x:c r="G58" s="9" t="str">
        <x:v>2026 йил якуни билан</x:v>
      </x:c>
      <x:c r="H58" s="9" t="str">
        <x:v>year</x:v>
      </x:c>
      <x:c r="I58" s="9" t="str">
        <x:v>Йил якуни</x:v>
      </x:c>
      <x:c r="J58" s="9" t="str">
        <x:v>Вилоят</x:v>
      </x:c>
      <x:c r="K58" s="9" t="str">
        <x:v>Андижон вилояти ҳокимлиги</x:v>
      </x:c>
    </x:row>
    <x:row r="59">
      <x:c r="A59" s="9" t="n">
        <x:v>58</x:v>
      </x:c>
      <x:c r="B59" s="9" t="str">
        <x:v>Чора-тадбирлар</x:v>
      </x:c>
      <x:c r="C59" s="9" t="str">
        <x:v>T-037</x:v>
      </x:c>
      <x:c r="D59" s="9" t="str">
        <x:v>V.Хорижий инвестицияларни жалб қилиш</x:v>
      </x:c>
      <x:c r="E59" s="9" t="str">
        <x:v>investment</x:v>
      </x:c>
      <x:c r="F59" s="9" t="str">
        <x:v>398 млн долларлик 155 та лойиҳалар ишга туширилиши таъминлаш.</x:v>
      </x:c>
      <x:c r="G59" s="9" t="str">
        <x:v>2026 йил I ярим йиллик</x:v>
      </x:c>
      <x:c r="H59" s="9" t="str">
        <x:v>h1</x:v>
      </x:c>
      <x:c r="I59" s="9" t="str">
        <x:v>Ярим йиллик</x:v>
      </x:c>
      <x:c r="J59" s="9" t="str">
        <x:v>Вилоят</x:v>
      </x:c>
      <x:c r="K59" s="9" t="str">
        <x:v>Андижон вилояти ҳокимлиги</x:v>
      </x:c>
    </x:row>
    <x:row r="60">
      <x:c r="A60" s="9" t="n">
        <x:v>59</x:v>
      </x:c>
      <x:c r="B60" s="9" t="str">
        <x:v>Чора-тадбирлар</x:v>
      </x:c>
      <x:c r="C60" s="9" t="str">
        <x:v>T-038</x:v>
      </x:c>
      <x:c r="D60" s="9" t="str">
        <x:v>V.Хорижий инвестицияларни жалб қилиш</x:v>
      </x:c>
      <x:c r="E60" s="9" t="str">
        <x:v>investment</x:v>
      </x:c>
      <x:c r="F60" s="9" t="str">
        <x:v>1 335 млн долларлик 307 та лойиҳаларни ишга туширилиши таъминлаш. Натижада, йил якуни билан 30,9 минг та иш ўринлари яратиш.</x:v>
      </x:c>
      <x:c r="G60" s="9" t="str">
        <x:v>2026 йил якуни билан</x:v>
      </x:c>
      <x:c r="H60" s="9" t="str">
        <x:v>year</x:v>
      </x:c>
      <x:c r="I60" s="9" t="str">
        <x:v>Йил якуни</x:v>
      </x:c>
      <x:c r="J60" s="9" t="str">
        <x:v>Вилоят</x:v>
      </x:c>
      <x:c r="K60" s="9" t="str">
        <x:v>Андижон вилояти ҳокимлиги</x:v>
      </x:c>
    </x:row>
    <x:row r="61">
      <x:c r="A61" s="9" t="n">
        <x:v>60</x:v>
      </x:c>
      <x:c r="B61" s="9" t="str">
        <x:v>KPI</x:v>
      </x:c>
      <x:c r="C61" s="9" t="str">
        <x:v>K-022</x:v>
      </x:c>
      <x:c r="D61" s="9" t="str">
        <x:v>VI. Экспорт</x:v>
      </x:c>
      <x:c r="E61" s="9" t="str">
        <x:v>export</x:v>
      </x:c>
      <x:c r="F61" s="9" t="str">
        <x:v>361,6 млн доллар (ўсиш – 21 %) экспорт таъминлаш.</x:v>
      </x:c>
      <x:c r="G61" s="9" t="str">
        <x:v>2026 йил I ярим йиллик</x:v>
      </x:c>
      <x:c r="H61" s="9" t="str">
        <x:v>h1</x:v>
      </x:c>
      <x:c r="I61" s="9" t="str">
        <x:v>Ярим йиллик</x:v>
      </x:c>
      <x:c r="J61" s="9" t="str">
        <x:v>Вилоят</x:v>
      </x:c>
      <x:c r="K61" s="9" t="str">
        <x:v>Андижон вилояти ҳокимлиги</x:v>
      </x:c>
    </x:row>
    <x:row r="62">
      <x:c r="A62" s="9" t="n">
        <x:v>61</x:v>
      </x:c>
      <x:c r="B62" s="9" t="str">
        <x:v>KPI</x:v>
      </x:c>
      <x:c r="C62" s="9" t="str">
        <x:v>K-023</x:v>
      </x:c>
      <x:c r="D62" s="9" t="str">
        <x:v>VI. Экспорт</x:v>
      </x:c>
      <x:c r="E62" s="9" t="str">
        <x:v>export</x:v>
      </x:c>
      <x:c r="F62" s="9" t="str">
        <x:v>Йил якунига 976 млн доллар (32%) экспорт таъминлаш.</x:v>
      </x:c>
      <x:c r="G62" s="9" t="str">
        <x:v>2026 йил якуни билан</x:v>
      </x:c>
      <x:c r="H62" s="9" t="str">
        <x:v>year</x:v>
      </x:c>
      <x:c r="I62" s="9" t="str">
        <x:v>Йил якуни</x:v>
      </x:c>
      <x:c r="J62" s="9" t="str">
        <x:v>Вилоят</x:v>
      </x:c>
      <x:c r="K62" s="9" t="str">
        <x:v>Андижон вилояти ҳокимлиги</x:v>
      </x:c>
    </x:row>
    <x:row r="63">
      <x:c r="A63" s="9" t="n">
        <x:v>62</x:v>
      </x:c>
      <x:c r="B63" s="9" t="str">
        <x:v>Чора-тадбирлар</x:v>
      </x:c>
      <x:c r="C63" s="9" t="str">
        <x:v>T-039</x:v>
      </x:c>
      <x:c r="D63" s="9" t="str">
        <x:v>VI. Экспорт</x:v>
      </x:c>
      <x:c r="E63" s="9" t="str">
        <x:v>export</x:v>
      </x:c>
      <x:c r="F63" s="9" t="str">
        <x:v>I чоракда экспорт ҳажмлари камайган 46 та ва экспорти тўхтаган 11 та корхоналар бирма-бир ўрганилиб, тегишли чоралар кўриш.</x:v>
      </x:c>
      <x:c r="G63" s="9" t="str">
        <x:v>2026 йил I ярим йиллик</x:v>
      </x:c>
      <x:c r="H63" s="9" t="str">
        <x:v>h1</x:v>
      </x:c>
      <x:c r="I63" s="9" t="str">
        <x:v>Ярим йиллик</x:v>
      </x:c>
      <x:c r="J63" s="9" t="str">
        <x:v>Вилоят</x:v>
      </x:c>
      <x:c r="K63" s="9" t="str">
        <x:v>Андижон вилояти ҳокимлиги</x:v>
      </x:c>
    </x:row>
    <x:row r="64">
      <x:c r="A64" s="9" t="n">
        <x:v>63</x:v>
      </x:c>
      <x:c r="B64" s="9" t="str">
        <x:v>Чора-тадбирлар</x:v>
      </x:c>
      <x:c r="C64" s="9" t="str">
        <x:v>T-040</x:v>
      </x:c>
      <x:c r="D64" s="9" t="str">
        <x:v>VI. Экспорт</x:v>
      </x:c>
      <x:c r="E64" s="9" t="str">
        <x:v>export</x:v>
      </x:c>
      <x:c r="F64" s="9" t="str">
        <x:v>85 та корхоналар экспортга жалб қилиниб, вилоят экспортчилар сони 400 тага етказиш.</x:v>
      </x:c>
      <x:c r="G64" s="9" t="str">
        <x:v>2026 йил якуни билан</x:v>
      </x:c>
      <x:c r="H64" s="9" t="str">
        <x:v>year</x:v>
      </x:c>
      <x:c r="I64" s="9" t="str">
        <x:v>Йил якуни</x:v>
      </x:c>
      <x:c r="J64" s="9" t="str">
        <x:v>Вилоят</x:v>
      </x:c>
      <x:c r="K64" s="9" t="str">
        <x:v>Андижон вилояти ҳокимлиги</x:v>
      </x:c>
    </x:row>
    <x:row r="65">
      <x:c r="A65" s="9" t="n">
        <x:v>64</x:v>
      </x:c>
      <x:c r="B65" s="9" t="str">
        <x:v>Чора-тадбирлар</x:v>
      </x:c>
      <x:c r="C65" s="9" t="str">
        <x:v>T-041</x:v>
      </x:c>
      <x:c r="D65" s="9" t="str">
        <x:v>VI. Экспорт</x:v>
      </x:c>
      <x:c r="E65" s="9" t="str">
        <x:v>export</x:v>
      </x:c>
      <x:c r="F65" s="9" t="str">
        <x:v>Экспорт географияси кенгайтирилиб, асосий ҳамкор давлатларга боғлиқликни олдини олиш чораларини кўриш. Бунда: а) хорижий давлатларда (Германия, Афғонистон, Польша, Хитой) ўтказиладиган 4та халқаро кўргазмаларга 90 та корхонани жалб қилиб, 100 млн доллар ва 30 та корхона иштирокида бизнес-миссиялар ташкил этиш орқали 50 млн долларлик экспорт келишувларига эришиш. б) 3 та янги бозорлар, хусусан, Канада, Буюк Британия ҳамда Озарбайжон давлатларига экспортни йўлга қўйиш бўйича тизимли иш ташкил қилиш.</x:v>
      </x:c>
      <x:c r="G65" s="9" t="str">
        <x:v>2026 йил якуни билан</x:v>
      </x:c>
      <x:c r="H65" s="9" t="str">
        <x:v>year</x:v>
      </x:c>
      <x:c r="I65" s="9" t="str">
        <x:v>Йил якуни</x:v>
      </x:c>
      <x:c r="J65" s="9" t="str">
        <x:v>Вилоят</x:v>
      </x:c>
      <x:c r="K65" s="9" t="str">
        <x:v>Андижон вилояти ҳокимлиги</x:v>
      </x:c>
    </x:row>
    <x:row r="66">
      <x:c r="A66" s="9" t="n">
        <x:v>65</x:v>
      </x:c>
      <x:c r="B66" s="9" t="str">
        <x:v>Чора-тадбирлар</x:v>
      </x:c>
      <x:c r="C66" s="9" t="str">
        <x:v>T-042</x:v>
      </x:c>
      <x:c r="D66" s="9" t="str">
        <x:v>VI. Экспорт</x:v>
      </x:c>
      <x:c r="E66" s="9" t="str">
        <x:v>export</x:v>
      </x:c>
      <x:c r="F66" s="9" t="str">
        <x:v>Вилоятдаги 57 та экспортчилар билан манзилли ишлаб уларга молиявий ва ташкилий-ҳуқуқий кўмак кўрсатиш. Бунда, экспорт штаби фаолияти вилоят ҳокими томонидан шахсан назоратга олинган ҳолда тадбиркорлар учун экспортда яратилган имкониятлар тўғрисида кенг тарғибот олиб борилади ва экспортга тўсқинлик қилаётган муаммоларни тезкор ҳал этилиши кунлик назорат қилинади.</x:v>
      </x:c>
      <x:c r="G66" s="9" t="str">
        <x:v>2026 йил якуни билан</x:v>
      </x:c>
      <x:c r="H66" s="9" t="str">
        <x:v>year</x:v>
      </x:c>
      <x:c r="I66" s="9" t="str">
        <x:v>Йил якуни</x:v>
      </x:c>
      <x:c r="J66" s="9" t="str">
        <x:v>Вилоят</x:v>
      </x:c>
      <x:c r="K66" s="9" t="str">
        <x:v>Андижон вилояти ҳокимлиги</x:v>
      </x:c>
    </x:row>
    <x:row r="67">
      <x:c r="A67" s="9" t="n">
        <x:v>66</x:v>
      </x:c>
      <x:c r="B67" s="9" t="str">
        <x:v>KPI</x:v>
      </x:c>
      <x:c r="C67" s="9" t="str">
        <x:v>K-024</x:v>
      </x:c>
      <x:c r="D67" s="9" t="str">
        <x:v>7.1. Ишсизликни қисқартириш йўналишида</x:v>
      </x:c>
      <x:c r="E67" s="9" t="str">
        <x:v>unemployment</x:v>
      </x:c>
      <x:c r="F67" s="9" t="str">
        <x:v>Биринчи ярим йилда ишсизлик даражаси 3,8 фоизгача камайтириш.</x:v>
      </x:c>
      <x:c r="G67" s="9" t="str">
        <x:v>2026 йил I ярим йиллик</x:v>
      </x:c>
      <x:c r="H67" s="9" t="str">
        <x:v>h1</x:v>
      </x:c>
      <x:c r="I67" s="9" t="str">
        <x:v>Ярим йиллик</x:v>
      </x:c>
      <x:c r="J67" s="9" t="str">
        <x:v>Вилоят</x:v>
      </x:c>
      <x:c r="K67" s="9" t="str">
        <x:v>Андижон вилояти ҳокимлиги</x:v>
      </x:c>
    </x:row>
    <x:row r="68">
      <x:c r="A68" s="9" t="n">
        <x:v>67</x:v>
      </x:c>
      <x:c r="B68" s="9" t="str">
        <x:v>Чора-тадбирлар</x:v>
      </x:c>
      <x:c r="C68" s="9" t="str">
        <x:v>T-043</x:v>
      </x:c>
      <x:c r="D68" s="9" t="str">
        <x:v>7.1. Ишсизликни қисқартириш йўналишида</x:v>
      </x:c>
      <x:c r="E68" s="9" t="str">
        <x:v>unemployment</x:v>
      </x:c>
      <x:c r="F68" s="9" t="str">
        <x:v>Ишсизлик даражаси камайтириш мақсадида: 38,9 минг аҳолини доимий ишга жойлаштириш; 148,5 минг нафар фуқаро даромадларини оширишга қаратилган хизматлар билан қамраб олиш; 29,9 минг норасмий бандлар фаолияти легаллаштириш. Бунда тадбиркорларни молиявий қўллаб-қувватлаш орқали 13 минг 329 та аҳолининг даромади оширилади. Жумладан, маҳалла ихтисослашувини чуқурлаштиришга қаратилган 3 мингта 834 та микролойиҳа ишга тушириш.</x:v>
      </x:c>
      <x:c r="G68" s="9" t="str">
        <x:v>2026 йил I ярим йиллик</x:v>
      </x:c>
      <x:c r="H68" s="9" t="str">
        <x:v>h1</x:v>
      </x:c>
      <x:c r="I68" s="9" t="str">
        <x:v>Ярим йиллик</x:v>
      </x:c>
      <x:c r="J68" s="9" t="str">
        <x:v>Вилоят</x:v>
      </x:c>
      <x:c r="K68" s="9" t="str">
        <x:v>Андижон вилояти ҳокимлиги</x:v>
      </x:c>
    </x:row>
    <x:row r="69">
      <x:c r="A69" s="9" t="n">
        <x:v>68</x:v>
      </x:c>
      <x:c r="B69" s="9" t="str">
        <x:v>KPI</x:v>
      </x:c>
      <x:c r="C69" s="9" t="str">
        <x:v>K-025</x:v>
      </x:c>
      <x:c r="D69" s="9" t="str">
        <x:v>7.1. Ишсизликни қисқартириш йўналишида</x:v>
      </x:c>
      <x:c r="E69" s="9" t="str">
        <x:v>unemployment</x:v>
      </x:c>
      <x:c r="F69" s="9" t="str">
        <x:v>Йил якуни билан ишсизлик даражасини 3,6 фоизгача камайтириш.</x:v>
      </x:c>
      <x:c r="G69" s="9" t="str">
        <x:v>2026 йил якуни билан</x:v>
      </x:c>
      <x:c r="H69" s="9" t="str">
        <x:v>year</x:v>
      </x:c>
      <x:c r="I69" s="9" t="str">
        <x:v>Йил якуни</x:v>
      </x:c>
      <x:c r="J69" s="9" t="str">
        <x:v>Вилоят</x:v>
      </x:c>
      <x:c r="K69" s="9" t="str">
        <x:v>Андижон вилояти ҳокимлиги</x:v>
      </x:c>
    </x:row>
    <x:row r="70">
      <x:c r="A70" s="9" t="n">
        <x:v>69</x:v>
      </x:c>
      <x:c r="B70" s="9" t="str">
        <x:v>Чора-тадбирлар</x:v>
      </x:c>
      <x:c r="C70" s="9" t="str">
        <x:v>T-044</x:v>
      </x:c>
      <x:c r="D70" s="9" t="str">
        <x:v>7.1. Ишсизликни қисқартириш йўналишида</x:v>
      </x:c>
      <x:c r="E70" s="9" t="str">
        <x:v>unemployment</x:v>
      </x:c>
      <x:c r="F70" s="9" t="str">
        <x:v>Ишсизлик даражасини камайтириш мақсадида: 86,7 минг аҳолини доимий ишга жойлаштириш; 336,4 минг нафар фуқаро даромадларини оширишга қаратилган хизматлар билан қамраб олиш; 66,4 минг норасмий бандлар фаолияти легаллаштириш. Бунда йил якуни билан тадбиркорларни молиявий қўллаб-қувватлаш орқали 26 минг 658 та аҳолининг даромади оширилади. Жумладан, маҳалла ихтисослашувини чуқурлаштиришга қаратилган 8 мингта 790 та микролойиҳа ишга тушириш.</x:v>
      </x:c>
      <x:c r="G70" s="9" t="str">
        <x:v>2026 йил якуни билан</x:v>
      </x:c>
      <x:c r="H70" s="9" t="str">
        <x:v>year</x:v>
      </x:c>
      <x:c r="I70" s="9" t="str">
        <x:v>Йил якуни</x:v>
      </x:c>
      <x:c r="J70" s="9" t="str">
        <x:v>Вилоят</x:v>
      </x:c>
      <x:c r="K70" s="9" t="str">
        <x:v>Андижон вилояти ҳокимлиги</x:v>
      </x:c>
    </x:row>
    <x:row r="71">
      <x:c r="A71" s="9" t="n">
        <x:v>70</x:v>
      </x:c>
      <x:c r="B71" s="9" t="str">
        <x:v>Чора-тадбирлар</x:v>
      </x:c>
      <x:c r="C71" s="9" t="str">
        <x:v>T-045</x:v>
      </x:c>
      <x:c r="D71" s="9" t="str">
        <x:v>7.1. Ишсизликни қисқартириш йўналишида</x:v>
      </x:c>
      <x:c r="E71" s="9" t="str">
        <x:v>small_business_share</x:v>
      </x:c>
      <x:c r="F71" s="9" t="str">
        <x:v>Кичик ва ўрта бизнес лойиҳаларига жами 3,6 трлн сўм кредитлар ажратиш. Шундан тадбиркорлик дастурлари доирасида 871 млрд сўм кредитлар ажратиш.</x:v>
      </x:c>
      <x:c r="G71" s="9" t="str">
        <x:v>2026 йил I ярим йиллик</x:v>
      </x:c>
      <x:c r="H71" s="9" t="str">
        <x:v>h1</x:v>
      </x:c>
      <x:c r="I71" s="9" t="str">
        <x:v>Ярим йиллик</x:v>
      </x:c>
      <x:c r="J71" s="9" t="str">
        <x:v>Вилоят</x:v>
      </x:c>
      <x:c r="K71" s="9" t="str">
        <x:v>Андижон вилояти ҳокимлиги</x:v>
      </x:c>
    </x:row>
    <x:row r="72">
      <x:c r="A72" s="9" t="n">
        <x:v>71</x:v>
      </x:c>
      <x:c r="B72" s="9" t="str">
        <x:v>Чора-тадбирлар</x:v>
      </x:c>
      <x:c r="C72" s="9" t="str">
        <x:v>T-046</x:v>
      </x:c>
      <x:c r="D72" s="9" t="str">
        <x:v>7.1. Ишсизликни қисқартириш йўналишида</x:v>
      </x:c>
      <x:c r="E72" s="9" t="str">
        <x:v>small_business_share</x:v>
      </x:c>
      <x:c r="F72" s="9" t="str">
        <x:v>Йил якуни билан кичик ва ўрта бизнес лойиҳаларига жами 8 трлн сўм кредитлар ажратиш. Шундан тадбиркорлик дастурлари доирасида 2,1 трлн сўм кредитлар ажратиш.</x:v>
      </x:c>
      <x:c r="G72" s="9" t="str">
        <x:v>2026 йил якуни билан</x:v>
      </x:c>
      <x:c r="H72" s="9" t="str">
        <x:v>year</x:v>
      </x:c>
      <x:c r="I72" s="9" t="str">
        <x:v>Йил якуни</x:v>
      </x:c>
      <x:c r="J72" s="9" t="str">
        <x:v>Вилоят</x:v>
      </x:c>
      <x:c r="K72" s="9" t="str">
        <x:v>Андижон вилояти ҳокимлиги</x:v>
      </x:c>
    </x:row>
    <x:row r="73">
      <x:c r="A73" s="9" t="n">
        <x:v>72</x:v>
      </x:c>
      <x:c r="B73" s="9" t="str">
        <x:v>Чора-тадбирлар</x:v>
      </x:c>
      <x:c r="C73" s="9" t="str">
        <x:v>T-047</x:v>
      </x:c>
      <x:c r="D73" s="9" t="str">
        <x:v>7.1. Ишсизликни қисқартириш йўналишида</x:v>
      </x:c>
      <x:c r="E73" s="9" t="str">
        <x:v>small_business_share</x:v>
      </x:c>
      <x:c r="F73" s="9" t="str">
        <x:v>Жорий йилнинг I чораги якуни билан янги ташкил қилинган тадбиркорлик субъектлари сони ўтган йилнинг мос даврига нисбатан камайиш кузатилган 3 та туманларида ишбилармонлик муҳитини яхшилаш чоралари кўриш.</x:v>
      </x:c>
      <x:c r="G73" s="9" t="str">
        <x:v>2026 йил I ярим йиллик</x:v>
      </x:c>
      <x:c r="H73" s="9" t="str">
        <x:v>h1</x:v>
      </x:c>
      <x:c r="I73" s="9" t="str">
        <x:v>Ярим йиллик</x:v>
      </x:c>
      <x:c r="J73" s="9" t="str">
        <x:v>Вилоят</x:v>
      </x:c>
      <x:c r="K73" s="9" t="str">
        <x:v>Андижон вилояти ҳокимлиги</x:v>
      </x:c>
    </x:row>
    <x:row r="74">
      <x:c r="A74" s="9" t="n">
        <x:v>73</x:v>
      </x:c>
      <x:c r="B74" s="9" t="str">
        <x:v>Чора-тадбирлар</x:v>
      </x:c>
      <x:c r="C74" s="9" t="str">
        <x:v>T-048</x:v>
      </x:c>
      <x:c r="D74" s="9" t="str">
        <x:v>7.1. Ишсизликни қисқартириш йўналишида</x:v>
      </x:c>
      <x:c r="E74" s="9" t="str">
        <x:v>small_business_share</x:v>
      </x:c>
      <x:c r="F74" s="9" t="str">
        <x:v>Вилоятда жорий йил якунига қадар 800 та субъектларининг фаолиятини тиклаш бўйича амалий чоралар кўриш. Жумладан: Андижон шаҳрида – 209 та, Асака тум. – 71 та, Андижон тум. – 63 та, Шаҳрихон тум. – 50 та, Қўрғонтепа тум. – 50 та, Избоскан тум – 46 та, Хўжаобод тум. – 44 та, Олтинкўл тум. 40 та, Балиқчи тум. 38 та, Пахтаобод тум. 36 та, Марҳамат тум. 34 та, Жалақудуқ тум. 31 та, Булоқбоши тум. 27 та, Бўстон тум. 26 та, Улуғнор тум. 22 та Хонобод шаҳарда 13 та.</x:v>
      </x:c>
      <x:c r="G74" s="9" t="str">
        <x:v>2026 йил якуни билан</x:v>
      </x:c>
      <x:c r="H74" s="9" t="str">
        <x:v>year</x:v>
      </x:c>
      <x:c r="I74" s="9" t="str">
        <x:v>Йил якуни</x:v>
      </x:c>
      <x:c r="J74" s="9" t="str">
        <x:v>Андижон тумани; Андижон шаҳри; Асака тумани; Балиқчи тумани; Булоқбоши тумани; Бўстон тумани; Жалақудуқ тумани; Избоскан тумани; Марҳамат тумани; Олтинкўл тумани; Пахтаобод тумани; Улуғнор тумани; Хонобод шаҳри; Хўжаобод тумани; Шаҳрихон тумани; Қўрғонтепа тумани</x:v>
      </x:c>
      <x:c r="K74" s="9" t="str">
        <x:v>Андижон вилояти ҳокимлиги, Андижон шаҳри ҳокимлиги, Асака тумани ҳокимлиги, Андижон тумани ҳокимлиги, Шаҳрихон тумани ҳокимлиги, Қўрғонтепа тумани ҳокимлиги, Избоскан тумани ҳокимлиги, Хўжаобод тумани ҳокимлиги, Олтинкўл тумани ҳокимлиги, Балиқчи тумани ҳокимлиги, Пахтаобод тумани ҳокимлиги, Марҳамат тумани ҳокимлиги, Жалақудуқ тумани ҳокимлиги, Булоқбоши тумани ҳокимлиги, Бўстон тумани ҳокимлиги, Улуғнор тумани ҳокимлиги, Хонобод шаҳри ҳокимлиги</x:v>
      </x:c>
    </x:row>
    <x:row r="75">
      <x:c r="A75" s="9" t="n">
        <x:v>74</x:v>
      </x:c>
      <x:c r="B75" s="9" t="str">
        <x:v>KPI</x:v>
      </x:c>
      <x:c r="C75" s="9" t="str">
        <x:v>K-026</x:v>
      </x:c>
      <x:c r="D75" s="9" t="str">
        <x:v>7.1. Ишсизликни қисқартириш йўналишида</x:v>
      </x:c>
      <x:c r="E75" s="9" t="str">
        <x:v>small_business_share</x:v>
      </x:c>
      <x:c r="F75" s="9" t="str">
        <x:v>Кичик тадбиркорликни қўллаб-қувватлаш натижасида республикада жорий йил якуни билан кичик тадбиркорликнинг ялпи ҳудудий маҳсулотдаги улуши 71 фоизга етказиш.</x:v>
      </x:c>
      <x:c r="G75" s="9" t="str">
        <x:v>2026 йил якуни билан</x:v>
      </x:c>
      <x:c r="H75" s="9" t="str">
        <x:v>year</x:v>
      </x:c>
      <x:c r="I75" s="9" t="str">
        <x:v>Йил якуни</x:v>
      </x:c>
      <x:c r="J75" s="9" t="str">
        <x:v>Вилоят</x:v>
      </x:c>
      <x:c r="K75" s="9" t="str">
        <x:v>Андижон вилояти ҳокимлиги</x:v>
      </x:c>
    </x:row>
    <x:row r="76">
      <x:c r="A76" s="9" t="n">
        <x:v>75</x:v>
      </x:c>
      <x:c r="B76" s="9" t="str">
        <x:v>KPI</x:v>
      </x:c>
      <x:c r="C76" s="9" t="str">
        <x:v>K-027</x:v>
      </x:c>
      <x:c r="D76" s="9" t="str">
        <x:v>7.2. Камбағалликни қисқартириш йўналишида</x:v>
      </x:c>
      <x:c r="E76" s="9" t="str">
        <x:v>poverty</x:v>
      </x:c>
      <x:c r="F76" s="9" t="str">
        <x:v>Биринчи ярим йилда камбағаллик даражасини 4,5 фоизгача қисқартириш.</x:v>
      </x:c>
      <x:c r="G76" s="9" t="str">
        <x:v>2026 йил I ярим йиллик</x:v>
      </x:c>
      <x:c r="H76" s="9" t="str">
        <x:v>h1</x:v>
      </x:c>
      <x:c r="I76" s="9" t="str">
        <x:v>Ярим йиллик</x:v>
      </x:c>
      <x:c r="J76" s="9" t="str">
        <x:v>Вилоят</x:v>
      </x:c>
      <x:c r="K76" s="9" t="str">
        <x:v>Андижон вилояти ҳокимлиги</x:v>
      </x:c>
    </x:row>
    <x:row r="77">
      <x:c r="A77" s="9" t="n">
        <x:v>76</x:v>
      </x:c>
      <x:c r="B77" s="9" t="str">
        <x:v>KPI</x:v>
      </x:c>
      <x:c r="C77" s="9" t="str">
        <x:v>K-028</x:v>
      </x:c>
      <x:c r="D77" s="9" t="str">
        <x:v>7.2. Камбағалликни қисқартириш йўналишида</x:v>
      </x:c>
      <x:c r="E77" s="9" t="str">
        <x:v>poverty</x:v>
      </x:c>
      <x:c r="F77" s="9" t="str">
        <x:v>Йил якуни билан камбағаллик даражасини 2,7 фоизгача қисқартириш.</x:v>
      </x:c>
      <x:c r="G77" s="9" t="str">
        <x:v>2026 йил якуни билан</x:v>
      </x:c>
      <x:c r="H77" s="9" t="str">
        <x:v>year</x:v>
      </x:c>
      <x:c r="I77" s="9" t="str">
        <x:v>Йил якуни</x:v>
      </x:c>
      <x:c r="J77" s="9" t="str">
        <x:v>Вилоят</x:v>
      </x:c>
      <x:c r="K77" s="9" t="str">
        <x:v>Андижон вилояти ҳокимлиги</x:v>
      </x:c>
    </x:row>
    <x:row r="78">
      <x:c r="A78" s="9" t="n">
        <x:v>77</x:v>
      </x:c>
      <x:c r="B78" s="9" t="str">
        <x:v>KPI</x:v>
      </x:c>
      <x:c r="C78" s="9" t="str">
        <x:v>K-029</x:v>
      </x:c>
      <x:c r="D78" s="9" t="str">
        <x:v>7.2. Камбағалликни қисқартириш йўналишида</x:v>
      </x:c>
      <x:c r="E78" s="9" t="str">
        <x:v>mfy_clear</x:v>
      </x:c>
      <x:c r="F78" s="9" t="str">
        <x:v>Биринчи ярим йилда вилоятдаги камбағаллик ва ишсизликдан холи бўлган маҳаллалар сонини 246 тага етказиш.</x:v>
      </x:c>
      <x:c r="G78" s="9" t="str">
        <x:v>2026 йил I ярим йиллик</x:v>
      </x:c>
      <x:c r="H78" s="9" t="str">
        <x:v>h1</x:v>
      </x:c>
      <x:c r="I78" s="9" t="str">
        <x:v>Ярим йиллик</x:v>
      </x:c>
      <x:c r="J78" s="9" t="str">
        <x:v>Вилоят</x:v>
      </x:c>
      <x:c r="K78" s="9" t="str">
        <x:v>Андижон вилояти ҳокимлиги</x:v>
      </x:c>
    </x:row>
    <x:row r="79">
      <x:c r="A79" s="9" t="n">
        <x:v>78</x:v>
      </x:c>
      <x:c r="B79" s="9" t="str">
        <x:v>Чора-тадбирлар</x:v>
      </x:c>
      <x:c r="C79" s="9" t="str">
        <x:v>T-049</x:v>
      </x:c>
      <x:c r="D79" s="9" t="str">
        <x:v>7.2. Камбағалликни қисқартириш йўналишида</x:v>
      </x:c>
      <x:c r="E79" s="9" t="str">
        <x:v>poverty</x:v>
      </x:c>
      <x:c r="F79" s="9" t="str">
        <x:v>12 мингта камбағал оилага “индивидуал режалар” асосида 14,5 мингта хизматлар кўрсатиш. I ярим йилликда оғир тоифага киритилган Бўстон туманида 7 та (йил якуни билан 10 та), Улуғнорда 4 та (10 та) ҳамда Пахтаободда 7 та (17 та) маҳалла камбағаллик ва ишсизликдан холи ҳудудга айлантириш.</x:v>
      </x:c>
      <x:c r="G79" s="9" t="str">
        <x:v>2026 йил I ярим йиллик</x:v>
      </x:c>
      <x:c r="H79" s="9" t="str">
        <x:v>h1</x:v>
      </x:c>
      <x:c r="I79" s="9" t="str">
        <x:v>Ярим йиллик</x:v>
      </x:c>
      <x:c r="J79" s="9" t="str">
        <x:v>Бўстон тумани; Пахтаобод тумани; Улуғнор тумани</x:v>
      </x:c>
      <x:c r="K79" s="9" t="str">
        <x:v>Андижон вилояти ҳокимлиги</x:v>
      </x:c>
    </x:row>
    <x:row r="80">
      <x:c r="A80" s="9" t="n">
        <x:v>79</x:v>
      </x:c>
      <x:c r="B80" s="9" t="str">
        <x:v>KPI</x:v>
      </x:c>
      <x:c r="C80" s="9" t="str">
        <x:v>K-030</x:v>
      </x:c>
      <x:c r="D80" s="9" t="str">
        <x:v>7.2. Камбағалликни қисқартириш йўналишида</x:v>
      </x:c>
      <x:c r="E80" s="9" t="str">
        <x:v>mfy_clear</x:v>
      </x:c>
      <x:c r="F80" s="9" t="str">
        <x:v>Йил якуни билан камбағаллик ва ишсизликдан холи бўлган маҳаллалар сонини 442 тага етказиш.</x:v>
      </x:c>
      <x:c r="G80" s="9" t="str">
        <x:v>2026 йил якуни билан</x:v>
      </x:c>
      <x:c r="H80" s="9" t="str">
        <x:v>year</x:v>
      </x:c>
      <x:c r="I80" s="9" t="str">
        <x:v>Йил якуни</x:v>
      </x:c>
      <x:c r="J80" s="9" t="str">
        <x:v>Вилоят</x:v>
      </x:c>
      <x:c r="K80" s="9" t="str">
        <x:v>Андижон вилояти ҳокимлиги</x:v>
      </x:c>
    </x:row>
    <x:row r="81">
      <x:c r="A81" s="9" t="n">
        <x:v>80</x:v>
      </x:c>
      <x:c r="B81" s="9" t="str">
        <x:v>Чора-тадбирлар</x:v>
      </x:c>
      <x:c r="C81" s="9" t="str">
        <x:v>T-050</x:v>
      </x:c>
      <x:c r="D81" s="9" t="str">
        <x:v>7.2. Камбағалликни қисқартириш йўналишида</x:v>
      </x:c>
      <x:c r="E81" s="9" t="str">
        <x:v>poverty</x:v>
      </x:c>
      <x:c r="F81" s="9" t="str">
        <x:v>Йил якуни билан 26 мингта камбағал оилага “индивидуал режалар” асосида 31,5 мингта хизматлар кўрсатиш.</x:v>
      </x:c>
      <x:c r="G81" s="9" t="str">
        <x:v>2026 йил якуни билан</x:v>
      </x:c>
      <x:c r="H81" s="9" t="str">
        <x:v>year</x:v>
      </x:c>
      <x:c r="I81" s="9" t="str">
        <x:v>Йил якуни</x:v>
      </x:c>
      <x:c r="J81" s="9" t="str">
        <x:v>Вилоят</x:v>
      </x:c>
      <x:c r="K81" s="9" t="str">
        <x:v>Андижон вилояти ҳокимлиги</x:v>
      </x:c>
    </x:row>
    <x:row r="82">
      <x:c r="A82" s="9" t="n">
        <x:v>81</x:v>
      </x:c>
      <x:c r="B82" s="9" t="str">
        <x:v>Чора-тадбирлар</x:v>
      </x:c>
      <x:c r="C82" s="9" t="str">
        <x:v>T-051</x:v>
      </x:c>
      <x:c r="D82" s="9" t="str">
        <x:v>7.2. Камбағалликни қисқартириш йўналишида</x:v>
      </x:c>
      <x:c r="E82" s="9" t="str">
        <x:v>poverty</x:v>
      </x:c>
      <x:c r="F82" s="9" t="str">
        <x:v>Тасдиқланган дастурлар доирасида 2026 йилнинг январь-июнь ойларида: – “Оғир туманлар” тоифасига кирган Бўстон, Улуғнор ва Пахтаободда жами қиймати 22,2 млрд сўмлик 3 та инфратузилма лойиҳалари, – вилоятдаги 52 та оғир маҳаллада 50,5 млрд сўмлик 52 та инфратузилма лойиҳалари бўйича қурилиш-таъмирлаш ишлари якунланиб, фойдаланишга топшириш; – “Янги Ўзбекистон қиёфасидаги туман” мақоми берилган Асака ва Шаҳрихонда қиймати 5,5 млрд сўмлик 2 та инфратузилма лойиҳалари; – Янги Ўзбекистон қиёфасидаги 28 та маҳаллада 48 млрд сўмлик 28 та инфратузилма лойиҳалари бўйича қурилиш-таъмирлаш ишлари якунланиб, фойдаланишга топшириш.</x:v>
      </x:c>
      <x:c r="G82" s="9" t="str">
        <x:v>2026 йил I ярим йиллик</x:v>
      </x:c>
      <x:c r="H82" s="9" t="str">
        <x:v>h1</x:v>
      </x:c>
      <x:c r="I82" s="9" t="str">
        <x:v>Ярим йиллик</x:v>
      </x:c>
      <x:c r="J82" s="9" t="str">
        <x:v>Асака тумани; Бўстон тумани; Пахтаобод тумани; Улуғнор тумани; Шаҳрихон тумани</x:v>
      </x:c>
      <x:c r="K82" s="9" t="str">
        <x:v>Андижон вилояти ҳокимлиги, Бўстон тумани ҳокимлиги, Улуғнор тумани ҳокимлиги, Пахтаобод тумани ҳокимлиги</x:v>
      </x:c>
    </x:row>
    <x:row r="83">
      <x:c r="A83" s="9" t="n">
        <x:v>82</x:v>
      </x:c>
      <x:c r="B83" s="9" t="str">
        <x:v>Чора-тадбирлар</x:v>
      </x:c>
      <x:c r="C83" s="9" t="str">
        <x:v>T-052</x:v>
      </x:c>
      <x:c r="D83" s="9" t="str">
        <x:v>7.2. Камбағалликни қисқартириш йўналишида</x:v>
      </x:c>
      <x:c r="E83" s="9" t="str">
        <x:v>poverty</x:v>
      </x:c>
      <x:c r="F83" s="9" t="str">
        <x:v>– “Оғир туманлар” тоифасига кирган Бўстон, Улуғнор ва Пахтаободда йил якуни жами қиймати 180 млрд сўмлик 24 та инфратузилма лойиҳалари; – вилоятдаги 52 та оғир маҳаллада 156 млрд сўмлик 145 та инфратузилма лойиҳалари; – Янги Ўзбекистон қиёфасидаги 28 та маҳаллада йил якуни билан 100 млрд сўмлик 140 та инфратузилма лойиҳалари бўйича қурилиш-таъмирлаш ишлари якунланиб, фойдаланишга топшириш.</x:v>
      </x:c>
      <x:c r="G83" s="9" t="str">
        <x:v>2026 йил якуни билан</x:v>
      </x:c>
      <x:c r="H83" s="9" t="str">
        <x:v>year</x:v>
      </x:c>
      <x:c r="I83" s="9" t="str">
        <x:v>Йил якуни</x:v>
      </x:c>
      <x:c r="J83" s="9" t="str">
        <x:v>Бўстон тумани; Пахтаобод тумани; Улуғнор тумани</x:v>
      </x:c>
      <x:c r="K83" s="9" t="str">
        <x:v>Андижон вилояти ҳокимлиги, Бўстон тумани ҳокимлиги, Улуғнор тумани ҳокимлиги, Пахтаобод тумани ҳокимлиги</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 min="3" max="3" width="18" hidden="0" customWidth="1"/>
    <x:col min="4" max="4" width="30" hidden="0" customWidth="1"/>
    <x:col min="5" max="5" width="24" hidden="0" customWidth="1"/>
    <x:col min="6" max="6" width="66" hidden="0" customWidth="1"/>
  </x:cols>
  <x:sheetData>
    <x:row r="1">
      <x:c r="A1" s="4" t="str">
        <x:v>Платформага улаш учун data model</x:v>
      </x:c>
    </x:row>
    <x:row r="3">
      <x:c r="A3" s="15" t="str">
        <x:v>Field</x:v>
      </x:c>
      <x:c r="B3" s="15" t="str">
        <x:v>Required</x:v>
      </x:c>
      <x:c r="C3" s="15" t="str">
        <x:v>Sheet</x:v>
      </x:c>
      <x:c r="D3" s="15" t="str">
        <x:v>Platform use</x:v>
      </x:c>
      <x:c r="E3" s="15" t="str">
        <x:v>Validation</x:v>
      </x:c>
      <x:c r="F3" s="15" t="str">
        <x:v>Notes</x:v>
      </x:c>
    </x:row>
    <x:row r="4">
      <x:c r="A4" s="9" t="str">
        <x:v>T-ID</x:v>
      </x:c>
      <x:c r="B4" s="9" t="str">
        <x:v>Yes</x:v>
      </x:c>
      <x:c r="C4" s="9" t="str">
        <x:v>02/03/04</x:v>
      </x:c>
      <x:c r="D4" s="9" t="str">
        <x:v>Task key</x:v>
      </x:c>
      <x:c r="E4" s="9" t="str">
        <x:v>T-001</x:v>
      </x:c>
      <x:c r="F4" s="9" t="str">
        <x:v>Чора-тадбир реестри билан боғланади</x:v>
      </x:c>
    </x:row>
    <x:row r="5">
      <x:c r="A5" s="9" t="str">
        <x:v>M-ID</x:v>
      </x:c>
      <x:c r="B5" s="9" t="str">
        <x:v>Yes for monthly</x:v>
      </x:c>
      <x:c r="C5" s="9" t="str">
        <x:v>03</x:v>
      </x:c>
      <x:c r="D5" s="9" t="str">
        <x:v>Monthly verification key</x:v>
      </x:c>
      <x:c r="E5" s="9" t="str">
        <x:v>M-001</x:v>
      </x:c>
      <x:c r="F5" s="9" t="str">
        <x:v>T-ID + ой + ҳудуд import key</x:v>
      </x:c>
    </x:row>
    <x:row r="6">
      <x:c r="A6" s="9" t="str">
        <x:v>D-ID</x:v>
      </x:c>
      <x:c r="B6" s="9" t="str">
        <x:v>Yes for district</x:v>
      </x:c>
      <x:c r="C6" s="9" t="str">
        <x:v>04</x:v>
      </x:c>
      <x:c r="D6" s="9" t="str">
        <x:v>District verification key</x:v>
      </x:c>
      <x:c r="E6" s="9" t="str">
        <x:v>D-001</x:v>
      </x:c>
      <x:c r="F6" s="9" t="str">
        <x:v>T-ID + туман + давр import key</x:v>
      </x:c>
    </x:row>
    <x:row r="7">
      <x:c r="A7" s="9" t="str">
        <x:v>Ҳисобот ҳолати</x:v>
      </x:c>
      <x:c r="B7" s="9" t="str">
        <x:v>Yes</x:v>
      </x:c>
      <x:c r="C7" s="9" t="str">
        <x:v>02/03/04</x:v>
      </x:c>
      <x:c r="D7" s="9" t="str">
        <x:v>Report workflow</x:v>
      </x:c>
      <x:c r="E7" s="9" t="str">
        <x:v>List</x:v>
      </x:c>
      <x:c r="F7" s="9" t="str">
        <x:v>Киритилди/тасдиқланди/қайтарилди/рад этилди</x:v>
      </x:c>
    </x:row>
    <x:row r="8">
      <x:c r="A8" s="9" t="str">
        <x:v>Ижро ҳолати</x:v>
      </x:c>
      <x:c r="B8" s="9" t="str">
        <x:v>Yes</x:v>
      </x:c>
      <x:c r="C8" s="9" t="str">
        <x:v>02/03/04</x:v>
      </x:c>
      <x:c r="D8" s="9" t="str">
        <x:v>Official task status</x:v>
      </x:c>
      <x:c r="E8" s="9" t="str">
        <x:v>List</x:v>
      </x:c>
      <x:c r="F8" s="9" t="str">
        <x:v>Task status шу майдондан олинади</x:v>
      </x:c>
    </x:row>
    <x:row r="9">
      <x:c r="A9" s="9" t="str">
        <x:v>Далил ҳолати</x:v>
      </x:c>
      <x:c r="B9" s="9" t="str">
        <x:v>Yes</x:v>
      </x:c>
      <x:c r="C9" s="9" t="str">
        <x:v>02/03/04</x:v>
      </x:c>
      <x:c r="D9" s="9" t="str">
        <x:v>Evidence quality</x:v>
      </x:c>
      <x:c r="E9" s="9" t="str">
        <x:v>List</x:v>
      </x:c>
      <x:c r="F9" s="9" t="str">
        <x:v>Далил етарсиз бўлса correction queue</x:v>
      </x:c>
    </x:row>
    <x:row r="10">
      <x:c r="A10" s="9" t="str">
        <x:v>Текширув санаси</x:v>
      </x:c>
      <x:c r="B10" s="9" t="str">
        <x:v>Yes</x:v>
      </x:c>
      <x:c r="C10" s="9" t="str">
        <x:v>02/03/04</x:v>
      </x:c>
      <x:c r="D10" s="9" t="str">
        <x:v>Audit timestamp</x:v>
      </x:c>
      <x:c r="E10" s="9" t="str">
        <x:v>Date</x:v>
      </x:c>
      <x:c r="F10" s="9" t="str">
        <x:v>Platform import учун мажбурий</x:v>
      </x:c>
    </x:row>
    <x:row r="11">
      <x:c r="A11" s="9" t="str">
        <x:v>Текширувчи</x:v>
      </x:c>
      <x:c r="B11" s="9" t="str">
        <x:v>Yes</x:v>
      </x:c>
      <x:c r="C11" s="9" t="str">
        <x:v>02/03/04</x:v>
      </x:c>
      <x:c r="D11" s="9" t="str">
        <x:v>Reviewer identity</x:v>
      </x:c>
      <x:c r="E11" s="9" t="str">
        <x:v>Text</x:v>
      </x:c>
      <x:c r="F11" s="9" t="str">
        <x:v>Ҳисоб палатаси масъул ходими</x:v>
      </x:c>
    </x:row>
    <x:row r="12">
      <x:c r="A12" s="9" t="str">
        <x:v>Муаммо тури</x:v>
      </x:c>
      <x:c r="B12" s="9" t="str">
        <x:v>Conditional</x:v>
      </x:c>
      <x:c r="C12" s="9" t="str">
        <x:v>02/03/04</x:v>
      </x:c>
      <x:c r="D12" s="9" t="str">
        <x:v>Risk analytics</x:v>
      </x:c>
      <x:c r="E12" s="9" t="str">
        <x:v>List</x:v>
      </x:c>
      <x:c r="F12" s="9" t="str">
        <x:v>Negative/returned statusesда мажбурий</x:v>
      </x:c>
    </x:row>
    <x:row r="13">
      <x:c r="A13" s="9" t="str">
        <x:v>Тузатиш муддати</x:v>
      </x:c>
      <x:c r="B13" s="9" t="str">
        <x:v>Conditional</x:v>
      </x:c>
      <x:c r="C13" s="9" t="str">
        <x:v>02/03/04</x:v>
      </x:c>
      <x:c r="D13" s="9" t="str">
        <x:v>Correction queue</x:v>
      </x:c>
      <x:c r="E13" s="9" t="str">
        <x:v>Date</x:v>
      </x:c>
      <x:c r="F13" s="9" t="str">
        <x:v>Қайтарилди/далил етарсиз бўлса мажбурий</x:v>
      </x:c>
    </x:row>
    <x:row r="14">
      <x:c r="A14" s="9" t="str">
        <x:v>Платформага қабул</x:v>
      </x:c>
      <x:c r="B14" s="9" t="str">
        <x:v>Formula</x:v>
      </x:c>
      <x:c r="C14" s="9" t="str">
        <x:v>02/03/04</x:v>
      </x:c>
      <x:c r="D14" s="9" t="str">
        <x:v>Import readiness</x:v>
      </x:c>
      <x:c r="E14" s="9" t="str">
        <x:v>Formula</x:v>
      </x:c>
      <x:c r="F14" s="9" t="str">
        <x:v>Required fields ва conditional rulesни текширади</x:v>
      </x:c>
    </x:row>
  </x:sheetData>
  <x:mergeCells>
    <x:mergeCell ref="A1:F1"/>
  </x:mergeCells>
  <x:pageMargins left="0.7" right="0.7" top="0.75" bottom="0.75" header="0.3" footer="0.3"/>
</x:worksheet>
</file>